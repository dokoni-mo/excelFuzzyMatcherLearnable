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ctrlProps/ctrlProp1.xml" ContentType="application/vnd.ms-excel.controlproperties+xml"/>
  <Override PartName="/xl/tables/table1.xml" ContentType="application/vnd.openxmlformats-officedocument.spreadsheetml.table+xml"/>
  <Override PartName="/xl/queryTables/queryTable1.xml" ContentType="application/vnd.openxmlformats-officedocument.spreadsheetml.queryTable+xml"/>
  <Override PartName="/xl/comments1.xml" ContentType="application/vnd.openxmlformats-officedocument.spreadsheetml.comments+xml"/>
  <Override PartName="/xl/tables/table2.xml" ContentType="application/vnd.openxmlformats-officedocument.spreadsheetml.table+xml"/>
  <Override PartName="/xl/queryTables/queryTable2.xml" ContentType="application/vnd.openxmlformats-officedocument.spreadsheetml.queryTable+xml"/>
  <Override PartName="/xl/drawings/drawing2.xml" ContentType="application/vnd.openxmlformats-officedocument.drawing+xml"/>
  <Override PartName="/xl/ctrlProps/ctrlProp2.xml" ContentType="application/vnd.ms-excel.controlproperties+xml"/>
  <Override PartName="/xl/tables/table3.xml" ContentType="application/vnd.openxmlformats-officedocument.spreadsheetml.table+xml"/>
  <Override PartName="/xl/tables/table4.xml" ContentType="application/vnd.openxmlformats-officedocument.spreadsheetml.table+xml"/>
  <Override PartName="/xl/comments2.xml" ContentType="application/vnd.openxmlformats-officedocument.spreadsheetml.comments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4332" codeName="{4D1C537B-E38A-612A-F078-A93A15B4B7F4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Admin\Desktop\excelFuzzyMatcherLearnable-main\"/>
    </mc:Choice>
  </mc:AlternateContent>
  <xr:revisionPtr revIDLastSave="0" documentId="13_ncr:1_{978D3692-A11B-405B-A231-19A4F0D181E9}" xr6:coauthVersionLast="47" xr6:coauthVersionMax="47" xr10:uidLastSave="{00000000-0000-0000-0000-000000000000}"/>
  <bookViews>
    <workbookView xWindow="-110" yWindow="-110" windowWidth="25820" windowHeight="16220" activeTab="3" xr2:uid="{00000000-000D-0000-FFFF-FFFF00000000}"/>
  </bookViews>
  <sheets>
    <sheet name="searching" sheetId="11" r:id="rId1"/>
    <sheet name="db" sheetId="13" r:id="rId2"/>
    <sheet name="fromTo" sheetId="5" r:id="rId3"/>
    <sheet name="settings" sheetId="4" r:id="rId4"/>
  </sheets>
  <functionGroups builtInGroupCount="19"/>
  <definedNames>
    <definedName name="_xlpm.coefRoadCurv" hidden="1" xlm="1">#NAME?</definedName>
    <definedName name="_xlpm.distance" hidden="1" xlm="1">#NAME?</definedName>
    <definedName name="_xlpm.idGroup" hidden="1" xlm="1">#NAME?</definedName>
    <definedName name="_xlpm.idWorkplace" hidden="1" xlm="1">#NAME?</definedName>
    <definedName name="_xlpm.logisticCost" hidden="1" xlm="1">#NAME?</definedName>
    <definedName name="_xlpm.mainX" hidden="1" xlm="1">#NAME?</definedName>
    <definedName name="_xlpm.mainY" hidden="1" xlm="1">#NAME?</definedName>
    <definedName name="_xlpm.payMethod" hidden="1" xlm="1">#NAME?</definedName>
    <definedName name="_xlpm.taxValue" hidden="1" xlm="1">#NAME?</definedName>
    <definedName name="ExternalData_1" localSheetId="0" hidden="1">searching!$B$1:$C$4</definedName>
    <definedName name="ExternalData_2" localSheetId="1" hidden="1">db!$A$1:$E$473</definedName>
    <definedName name="groupsOutsource">#REF!</definedName>
    <definedName name="groupsWorkplace">#REF!</definedName>
    <definedName name="nameSettings">settingsMain[name]</definedName>
    <definedName name="nameWorkplace">#REF!</definedName>
    <definedName name="searchWorkplace">#REF!</definedName>
    <definedName name="workplaceOutsource">#REF!</definedName>
  </definedNames>
  <calcPr calcId="191029"/>
  <fileRecoveryPr repairLoad="1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D4" i="11" l="1"/>
  <c r="E4" i="11"/>
  <c r="F4" i="11"/>
  <c r="D2" i="11"/>
  <c r="D3" i="11"/>
  <c r="E2" i="11"/>
  <c r="E3" i="11"/>
  <c r="F2" i="11"/>
  <c r="F3" i="11"/>
  <c r="G4" i="11" a="1"/>
  <c r="G3" i="11" a="1"/>
  <c r="G2" i="11" a="1"/>
  <c r="G4" i="11" l="1"/>
  <c r="G2" i="11"/>
  <c r="G3" i="11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Admin</author>
  </authors>
  <commentList>
    <comment ref="C1" authorId="0" shapeId="0" xr:uid="{0605CA49-9FF6-4FE1-B202-67E6D55543B1}">
      <text>
        <r>
          <rPr>
            <b/>
            <sz val="9"/>
            <color indexed="81"/>
            <rFont val="Tahoma"/>
            <family val="2"/>
          </rPr>
          <t>Double-click to cell in this column
to invoke finding window</t>
        </r>
      </text>
    </comment>
  </commentList>
</comments>
</file>

<file path=xl/comments2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Zu Lethal</author>
  </authors>
  <commentList>
    <comment ref="B2" authorId="0" shapeId="0" xr:uid="{1163B1BC-1FAE-4078-87C4-6C02E486689C}">
      <text>
        <r>
          <rPr>
            <sz val="9"/>
            <color indexed="81"/>
            <rFont val="Tahoma"/>
            <family val="2"/>
            <charset val="204"/>
          </rPr>
          <t>Path to this workbook; updates on workbook open</t>
        </r>
      </text>
    </comment>
  </commentList>
</comments>
</file>

<file path=xl/connections.xml><?xml version="1.0" encoding="utf-8"?>
<connections xmlns="http://schemas.openxmlformats.org/spreadsheetml/2006/main" xmlns:mc="http://schemas.openxmlformats.org/markup-compatibility/2006" xmlns:xr16="http://schemas.microsoft.com/office/spreadsheetml/2017/revision16" mc:Ignorable="xr16">
  <connection id="1" xr16:uid="{57B7824F-590F-4624-9032-68D5C83A3381}" keepAlive="1" name="Query - db" description="Connection to the 'db' query in the workbook." type="5" refreshedVersion="7" background="1" saveData="1">
    <dbPr connection="Provider=Microsoft.Mashup.OleDb.1;Data Source=$Workbook$;Location=db;Extended Properties=&quot;&quot;" command="SELECT * FROM [db]"/>
  </connection>
  <connection id="2" xr16:uid="{2D1C2791-9009-4D85-B672-AD272C7FF0DE}" keepAlive="1" name="Query - getDataCSV" description="Connection to the 'getDataCSV' query in the workbook." type="5" refreshedVersion="7" background="1" saveData="1">
    <dbPr connection="Provider=Microsoft.Mashup.OleDb.1;Data Source=$Workbook$;Location=getDataCSV;Extended Properties=&quot;&quot;" command="SELECT * FROM [getDataCSV]"/>
  </connection>
  <connection id="3" xr16:uid="{4A978836-82FC-4B34-9F20-91645ED2E89F}" keepAlive="1" name="Query - getDataXL" description="Connection to the 'getDataXL' query in the workbook." type="5" refreshedVersion="0" background="1">
    <dbPr connection="Provider=Microsoft.Mashup.OleDb.1;Data Source=$Workbook$;Location=getDataXL;Extended Properties=&quot;&quot;" command="SELECT * FROM [getDataXL]"/>
  </connection>
  <connection id="4" xr16:uid="{088CE624-6AAC-440D-8184-5183D4B12CA7}" keepAlive="1" name="Query - getFolderCSV" description="Connection to the 'getFolderCSV' query in the workbook." type="5" refreshedVersion="0" background="1" saveData="1">
    <dbPr connection="Provider=Microsoft.Mashup.OleDb.1;Data Source=$Workbook$;Location=getFolderCSV;Extended Properties=&quot;&quot;" command="SELECT * FROM [getFolderCSV]"/>
  </connection>
  <connection id="5" xr16:uid="{D6E001F6-0D59-435F-A60A-8966299F069F}" keepAlive="1" name="Query - getFolderXL" description="Connection to the 'getFolderXL' query in the workbook." type="5" refreshedVersion="0" background="1">
    <dbPr connection="Provider=Microsoft.Mashup.OleDb.1;Data Source=$Workbook$;Location=getFolderXL;Extended Properties=&quot;&quot;" command="SELECT * FROM [getFolderXL]"/>
  </connection>
  <connection id="6" xr16:uid="{AABADFD3-F715-4AD0-9080-26174562762F}" keepAlive="1" name="Query - searching" description="Connection to the 'searching' query in the workbook." type="5" refreshedVersion="7" background="1" saveData="1">
    <dbPr connection="Provider=Microsoft.Mashup.OleDb.1;Data Source=$Workbook$;Location=searching;Extended Properties=&quot;&quot;" command="SELECT * FROM [searching]"/>
  </connection>
</connections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<sst xmlns="http://schemas.openxmlformats.org/spreadsheetml/2006/main" count="1461" uniqueCount="1040">
  <si>
    <t>comment</t>
  </si>
  <si>
    <t>price</t>
  </si>
  <si>
    <t/>
  </si>
  <si>
    <t>Growth Hormone</t>
  </si>
  <si>
    <t>hGH</t>
  </si>
  <si>
    <t>Respiratory specimens</t>
  </si>
  <si>
    <t>Sputum</t>
  </si>
  <si>
    <t>Reticulocyte count</t>
  </si>
  <si>
    <t>Serum Protein Electrophoresis</t>
  </si>
  <si>
    <t>Serum paraprotein identification/quantification</t>
  </si>
  <si>
    <t>search</t>
  </si>
  <si>
    <t>path</t>
  </si>
  <si>
    <t>From</t>
  </si>
  <si>
    <t>To</t>
  </si>
  <si>
    <t>levenstein</t>
  </si>
  <si>
    <t>Respiratory spe</t>
  </si>
  <si>
    <t>code</t>
  </si>
  <si>
    <t>name</t>
  </si>
  <si>
    <t>costprice</t>
  </si>
  <si>
    <t>value</t>
  </si>
  <si>
    <t>fuzzyThreshold</t>
  </si>
  <si>
    <t>1,25-dihydroxy vitamin D (DHVD)</t>
  </si>
  <si>
    <t>Abdominal mass FNA</t>
  </si>
  <si>
    <t>Abscesses and Deep-Seated Wound Infections</t>
  </si>
  <si>
    <t>Acetyl Choline Receptor Antibodies</t>
  </si>
  <si>
    <t>Acid base status</t>
  </si>
  <si>
    <t>Gases</t>
  </si>
  <si>
    <t>Acid fast bacilli (mycobacteria) Special Stain</t>
  </si>
  <si>
    <t>Activated partial thromboplastin time</t>
  </si>
  <si>
    <t>Actual bicarbonate</t>
  </si>
  <si>
    <t>Acute kidney injury score</t>
  </si>
  <si>
    <t>AKI</t>
  </si>
  <si>
    <t>Acute Leukaemia Panel</t>
  </si>
  <si>
    <t>Can include: CD2, CD10, CD13, CD14, CD19, CD33, CD34, cytoCD79a, CD117, cytoTdT, cytoMPO</t>
  </si>
  <si>
    <t>Adenovirus</t>
  </si>
  <si>
    <t>Adrenal antibody</t>
  </si>
  <si>
    <t>Adrenal FNA</t>
  </si>
  <si>
    <t>AFP</t>
  </si>
  <si>
    <t>Alpha-feto-protein</t>
  </si>
  <si>
    <t>Alanine Aminotransferase</t>
  </si>
  <si>
    <t>ALT</t>
  </si>
  <si>
    <t>Albumin</t>
  </si>
  <si>
    <t>Albumin Creatinine Ratio (ACR)</t>
  </si>
  <si>
    <t>ACR</t>
  </si>
  <si>
    <t>Albumin excretionВ (urine micro albumin)</t>
  </si>
  <si>
    <t>Aldosterone</t>
  </si>
  <si>
    <t>Alkaline Phosphatase</t>
  </si>
  <si>
    <t>ALP</t>
  </si>
  <si>
    <t>Alkaline Phosphate isoenzymes</t>
  </si>
  <si>
    <t>Allergen Specific IgE</t>
  </si>
  <si>
    <t>Alpha-1-Antitrypsin</t>
  </si>
  <si>
    <t>A1AT</t>
  </si>
  <si>
    <t>Amikacin</t>
  </si>
  <si>
    <t>Aminotransferase</t>
  </si>
  <si>
    <t>Ammonia</t>
  </si>
  <si>
    <t>Androstenedione</t>
  </si>
  <si>
    <t>Anion-Gap</t>
  </si>
  <si>
    <t>Anti C1q</t>
  </si>
  <si>
    <t>Anti Myelin oligodendrocyte glycoprotein (MOG) Antibodies</t>
  </si>
  <si>
    <t>MOG</t>
  </si>
  <si>
    <t>Anti-Basal Ganglia Abs</t>
  </si>
  <si>
    <t>Antibiotic Susceptibility Tests</t>
  </si>
  <si>
    <t>Antimicrobial Susceptibility Test; AST</t>
  </si>
  <si>
    <t>Antibody screen and save serum</t>
  </si>
  <si>
    <t>Antibody titre</t>
  </si>
  <si>
    <t>Anti-cyclic citrullinated peptide (CCP)</t>
  </si>
  <si>
    <t>CCP; Cyclic citrullinated peptide</t>
  </si>
  <si>
    <t>Anti-Hepatitis Bs antibodyВ Virology</t>
  </si>
  <si>
    <t>Anti-neutrophil cytoplasmic antibody (ANCA)</t>
  </si>
  <si>
    <t>ANCA</t>
  </si>
  <si>
    <t>Antinuclear antibody (ANA)</t>
  </si>
  <si>
    <t>ENA antibodies includes: Ro (SS-A 52, SSA-60), La (SS-B), Sm, Sm/RNP, RNP (RNP A, RNP 68), Ribosomal P, Chromatin, Jo-1, and Scl-70</t>
  </si>
  <si>
    <t>Antithrombin</t>
  </si>
  <si>
    <t>AP100 Alternative Pathway Haemolytic Complement</t>
  </si>
  <si>
    <t>APTT</t>
  </si>
  <si>
    <t>Aquaporin 4</t>
  </si>
  <si>
    <t>Ascitic fluid</t>
  </si>
  <si>
    <t>Aspartate Aminotransferase</t>
  </si>
  <si>
    <t>AST</t>
  </si>
  <si>
    <t>Aspergillus fumigatus precipitins</t>
  </si>
  <si>
    <t>Aspergillus PCR</t>
  </si>
  <si>
    <t>Invasive infection with Aspergillus</t>
  </si>
  <si>
    <t>Autoimmune diabetes marker panel</t>
  </si>
  <si>
    <t>Avian precipitins</t>
  </si>
  <si>
    <t>B Cell Maturation Panel</t>
  </si>
  <si>
    <t>BartonellaВ (referral)</t>
  </si>
  <si>
    <t>Bence Jones protein (Urinary light chains) Urine immunofixation</t>
  </si>
  <si>
    <t>Beta 2 Glycoprotein (IgG and IgM)</t>
  </si>
  <si>
    <t>Beta Hydroxybutyrate</t>
  </si>
  <si>
    <t>Bicarbonate</t>
  </si>
  <si>
    <t>Bile acids</t>
  </si>
  <si>
    <t>Bile duct brushings</t>
  </si>
  <si>
    <t>Bilirubin (conjugated/direct)</t>
  </si>
  <si>
    <t>Bilirubin (total)</t>
  </si>
  <si>
    <t>BK virus PCR</t>
  </si>
  <si>
    <t>Polyoma viruses (BK)</t>
  </si>
  <si>
    <t>Bladder washings</t>
  </si>
  <si>
    <t>BlastomycesВ (referral)</t>
  </si>
  <si>
    <t>Bleeding Time</t>
  </si>
  <si>
    <t>Blood Cultures</t>
  </si>
  <si>
    <t>Blood group</t>
  </si>
  <si>
    <t>Blood Transfusion</t>
  </si>
  <si>
    <t>Bloodspot 17-hydroxyprogesterone</t>
  </si>
  <si>
    <t>17 OHP (blood spot)</t>
  </si>
  <si>
    <t>BNP (N-terminal pro BNP)</t>
  </si>
  <si>
    <t>Bocavirus PCR (referral)</t>
  </si>
  <si>
    <t>Bone marrow report</t>
  </si>
  <si>
    <t>Bordetella pertussis PCR</t>
  </si>
  <si>
    <t>Bordetella pertussis culture; Pernasal swab (for pertussis)</t>
  </si>
  <si>
    <t>Breath Hydrogen Test</t>
  </si>
  <si>
    <t>Bronchial brushings</t>
  </si>
  <si>
    <t>Bronchial trap</t>
  </si>
  <si>
    <t>Bronchoalveolar lavage</t>
  </si>
  <si>
    <t>Brucella (referral)</t>
  </si>
  <si>
    <t>Busulphan</t>
  </si>
  <si>
    <t>C1 esterase inhibitor</t>
  </si>
  <si>
    <t>C1 esterase inhibitor functional test</t>
  </si>
  <si>
    <t>C1q</t>
  </si>
  <si>
    <t>C3 nephritic factor</t>
  </si>
  <si>
    <t>CA125</t>
  </si>
  <si>
    <t>Caeruloplasmin</t>
  </si>
  <si>
    <t>Calcium (blood and urine)</t>
  </si>
  <si>
    <t>Calcium ionized</t>
  </si>
  <si>
    <t>Calcium, plasma, total</t>
  </si>
  <si>
    <t>Calprotectin (faeces)</t>
  </si>
  <si>
    <t>Campylobacter serology (referral)</t>
  </si>
  <si>
    <t>Candida PCR</t>
  </si>
  <si>
    <t>Invasive infection with Candida</t>
  </si>
  <si>
    <t>Candida precipitins (referral)</t>
  </si>
  <si>
    <t>Carbamazepine</t>
  </si>
  <si>
    <t>Carboxyhaemoglobin</t>
  </si>
  <si>
    <t>Cardiac muscle antibodies</t>
  </si>
  <si>
    <t>Cardiolipin (IgG and IgM) antibodies</t>
  </si>
  <si>
    <t>CASPR &amp; LGi1 Antibodies</t>
  </si>
  <si>
    <t>Catecholamines (urine)</t>
  </si>
  <si>
    <t>CD34 (Stem cells)</t>
  </si>
  <si>
    <t>CD4 count (T cell count)</t>
  </si>
  <si>
    <t>CEA</t>
  </si>
  <si>
    <t>Cerebrospinal fluid</t>
  </si>
  <si>
    <t>Cervical Cytology</t>
  </si>
  <si>
    <t>CH50 complement activity Classical Pathway</t>
  </si>
  <si>
    <t>Chain-of-custody medico-legal specimens</t>
  </si>
  <si>
    <t>Chlamydia trachomatis, Neisseria gonorrhoea, Trichomonas vaginalis, Mycoplasma genitalium NAATs</t>
  </si>
  <si>
    <t>Chloride</t>
  </si>
  <si>
    <t>Cholesterol</t>
  </si>
  <si>
    <t>Cholinesterase</t>
  </si>
  <si>
    <t>Chromium</t>
  </si>
  <si>
    <t>Chronic lymphocytic/lymphoma panel</t>
  </si>
  <si>
    <t>Can include: CD2, CD3, CD4, CD5, CD8, CD10, CD11c, CD16/CD56, CD19, CD23, CD25, CD38, CD79b, FMC7, Kappa and lambda light chains on B cells</t>
  </si>
  <si>
    <t>Clostridium difficile GDH and Toxin</t>
  </si>
  <si>
    <t>CMV (cytomegalovirus) antiviral resistance markers</t>
  </si>
  <si>
    <t>Cytomegalovirus anitviral resistance markers</t>
  </si>
  <si>
    <t>CMV (cytomegalovirus) IgG</t>
  </si>
  <si>
    <t>Cytomegalovirus (CMV) IgG</t>
  </si>
  <si>
    <t>CMV (cytomegalovirus) IgG avidity</t>
  </si>
  <si>
    <t>Cytomegalovirus (CMV) IgG avidity</t>
  </si>
  <si>
    <t>CMV (cytomegalovirus) IgM</t>
  </si>
  <si>
    <t>Cytomegalovirus (CMV) IgM</t>
  </si>
  <si>
    <t>CMV (cytomegalovirus) viral load</t>
  </si>
  <si>
    <t>Cytomegalovirus viral load</t>
  </si>
  <si>
    <t>Cobalt</t>
  </si>
  <si>
    <t>Coccidioides (referral)</t>
  </si>
  <si>
    <t>Coeliac Disease Antibodies</t>
  </si>
  <si>
    <t>Cold agglutinin titres (4В°C)</t>
  </si>
  <si>
    <t>Complement C3</t>
  </si>
  <si>
    <t>Complement C4</t>
  </si>
  <si>
    <t>Contact lens</t>
  </si>
  <si>
    <t>Copper (blood and urine)</t>
  </si>
  <si>
    <t>Cord blood investigations</t>
  </si>
  <si>
    <t>Corneal ScrapeВ (Bacteriology)</t>
  </si>
  <si>
    <t>Corneal ScrapeВ (Virology)</t>
  </si>
  <si>
    <t>Coronavirus COVID-19 Testing for SARS-CoV-2</t>
  </si>
  <si>
    <t>Cortisol</t>
  </si>
  <si>
    <t>COVID 19 Antibodies</t>
  </si>
  <si>
    <t>C-peptide</t>
  </si>
  <si>
    <t>C-reactive protein (CRP)</t>
  </si>
  <si>
    <t>Creatine Kinase</t>
  </si>
  <si>
    <t>CK</t>
  </si>
  <si>
    <t>Creatinine (blood and urine)</t>
  </si>
  <si>
    <t>Creatinine clearance</t>
  </si>
  <si>
    <t>Crithidia antibodies</t>
  </si>
  <si>
    <t>Cross matching</t>
  </si>
  <si>
    <t>Cryoglobulins</t>
  </si>
  <si>
    <t>Cryptococcus antigen</t>
  </si>
  <si>
    <t>CSF</t>
  </si>
  <si>
    <t>CTX</t>
  </si>
  <si>
    <t>Culture</t>
  </si>
  <si>
    <t>Cyclosporin A</t>
  </si>
  <si>
    <t>Ciclosporin</t>
  </si>
  <si>
    <t>Cystatin C</t>
  </si>
  <si>
    <t>Cystic Fibrosis</t>
  </si>
  <si>
    <t>Digoxin</t>
  </si>
  <si>
    <t>Diphtheria IgG antibody determination</t>
  </si>
  <si>
    <t>Direct Antiglobulin Test</t>
  </si>
  <si>
    <t>DNA Testing for the Haemoglobinopathies</t>
  </si>
  <si>
    <t>Double Negative T Cell (DNT) panel</t>
  </si>
  <si>
    <t>Double stranded DNA antibodies (IgG)</t>
  </si>
  <si>
    <t>Dried blood spot Hepatitis C RNA screening</t>
  </si>
  <si>
    <t>Dried blood spot Syphilis antibody</t>
  </si>
  <si>
    <t>Drugs of abuse (urine screen)</t>
  </si>
  <si>
    <t>Ear</t>
  </si>
  <si>
    <t>EBV (EBNA)</t>
  </si>
  <si>
    <t>EBNA, Epstein Barr Virus (EBNA)</t>
  </si>
  <si>
    <t>eGfR (estimated GfR)</t>
  </si>
  <si>
    <t>Ehrlichia IF (referral)</t>
  </si>
  <si>
    <t>Elastase (faeces)</t>
  </si>
  <si>
    <t>Electrolytes (urine)</t>
  </si>
  <si>
    <t>Electron microscopy</t>
  </si>
  <si>
    <t>EMA binding assay for Hereditary Spherocytosis</t>
  </si>
  <si>
    <t>Enteric Virus Panel</t>
  </si>
  <si>
    <t>Adenovirus 40/41 (Enteric) PCR; Astrovirus PCR; Norovirus PCR; Rotavirus PCR; Sapovirus PCR</t>
  </si>
  <si>
    <t>Enterovirus and parechovirus PCR</t>
  </si>
  <si>
    <t>Enzyme histochemistry</t>
  </si>
  <si>
    <t>EPO</t>
  </si>
  <si>
    <t>Epstein Barr Virus screening</t>
  </si>
  <si>
    <t>EBV VCA IgG, IgM</t>
  </si>
  <si>
    <t>Epstein Barr Virus viral load</t>
  </si>
  <si>
    <t>EBV viral load</t>
  </si>
  <si>
    <t>ErythrocyteВ Sedimentation Rate (ESR)</t>
  </si>
  <si>
    <t>Erythropoietin</t>
  </si>
  <si>
    <t>Ethanol (drinking alcohol)</t>
  </si>
  <si>
    <t>Eye</t>
  </si>
  <si>
    <t>Factor II assay</t>
  </si>
  <si>
    <t>Factor IX assay</t>
  </si>
  <si>
    <t>Factor IX inhibitors</t>
  </si>
  <si>
    <t>Factor V assay</t>
  </si>
  <si>
    <t>Factor V Leiden Mutation screen</t>
  </si>
  <si>
    <t>Factor VII assay</t>
  </si>
  <si>
    <t>Factor VIII assay</t>
  </si>
  <si>
    <t>Factor VIII inhibitors</t>
  </si>
  <si>
    <t>Factor X assay</t>
  </si>
  <si>
    <t>Factor XI assay</t>
  </si>
  <si>
    <t>Factor XII assay</t>
  </si>
  <si>
    <t>Faecal immunochemical testing</t>
  </si>
  <si>
    <t>FIT</t>
  </si>
  <si>
    <t>Faecal reducing substances</t>
  </si>
  <si>
    <t>Faeces Culture</t>
  </si>
  <si>
    <t>Failing metal-on-metal prosthetic joints</t>
  </si>
  <si>
    <t>FBC</t>
  </si>
  <si>
    <t>FDP D-Dimers</t>
  </si>
  <si>
    <t>Features associated with ganglia</t>
  </si>
  <si>
    <t>Features of Juvenile inflammatory arthropathy</t>
  </si>
  <si>
    <t>Features of rheumatoid disease</t>
  </si>
  <si>
    <t>Ferritin</t>
  </si>
  <si>
    <t>Fibrin Degradation Products</t>
  </si>
  <si>
    <t>Fibrinogen</t>
  </si>
  <si>
    <t>Fluids from Normally Sterile Sites</t>
  </si>
  <si>
    <t>Joint fluids; sterile fluids</t>
  </si>
  <si>
    <t>Folate (serum and red cell)</t>
  </si>
  <si>
    <t>Follicle stimulating hormone</t>
  </si>
  <si>
    <t>FSH</t>
  </si>
  <si>
    <t>Free fatty acids</t>
  </si>
  <si>
    <t>Free Light Chains</t>
  </si>
  <si>
    <t>Free thyroxine</t>
  </si>
  <si>
    <t>Free T4</t>
  </si>
  <si>
    <t>Free Tri-iodothyronine</t>
  </si>
  <si>
    <t>Free T3</t>
  </si>
  <si>
    <t>Full blood count and automated differential</t>
  </si>
  <si>
    <t>G6PD Assay (if screen gives intermediate or reduced result)</t>
  </si>
  <si>
    <t>G6PD Screen</t>
  </si>
  <si>
    <t>GABAb receptor &amp; AMPA receptor 1/2 antibodies</t>
  </si>
  <si>
    <t>Galactomannan referral</t>
  </si>
  <si>
    <t>Gamma-glutamyl transferase</t>
  </si>
  <si>
    <t>GGT</t>
  </si>
  <si>
    <t>Ganglioside Abs GM1</t>
  </si>
  <si>
    <t>Ganglioside Abs GQ1b</t>
  </si>
  <si>
    <t>Genital specimens for culture</t>
  </si>
  <si>
    <t>Gentamicin</t>
  </si>
  <si>
    <t>Glandular fever screening test</t>
  </si>
  <si>
    <t>Glomerular basement membrane antibodies</t>
  </si>
  <si>
    <t>Glucose</t>
  </si>
  <si>
    <t>Glutamic Acid Decarboxylase Antibodies</t>
  </si>
  <si>
    <t>Glycated Haemoglobin</t>
  </si>
  <si>
    <t>HbA1c</t>
  </si>
  <si>
    <t>Gout (urate crystals)</t>
  </si>
  <si>
    <t>Gram +ve/-ve sepsis</t>
  </si>
  <si>
    <t>Haemochromatosis C282Y, H63D and S65C genotyping</t>
  </si>
  <si>
    <t>Haemoglobinopathy Screening</t>
  </si>
  <si>
    <t>Haemophilius influenze type b antibody</t>
  </si>
  <si>
    <t>Haptoglobulin Estimation</t>
  </si>
  <si>
    <t>HCG blood (pregnancy and as tumour marker)</t>
  </si>
  <si>
    <t>Pregnancy test (blood); Human Chorionic Gonadotrophin</t>
  </si>
  <si>
    <t>HCV genotyping</t>
  </si>
  <si>
    <t>Helicobacter pylori</t>
  </si>
  <si>
    <t>Helicobacter pylori in Gastric Biopsies</t>
  </si>
  <si>
    <t>Gastric Biopsies for Helicobacter pylori</t>
  </si>
  <si>
    <t>Heparin control</t>
  </si>
  <si>
    <t>Hepatitis A total antibody (IgG and IgM)</t>
  </si>
  <si>
    <t>Hepatitis A virus (HAV) IgM</t>
  </si>
  <si>
    <t>Hepatitis B (HBV) confirmation</t>
  </si>
  <si>
    <t>HBV confirmation</t>
  </si>
  <si>
    <t>Hepatitis B (HBV) core antibodies</t>
  </si>
  <si>
    <t>HBV core antibodies</t>
  </si>
  <si>
    <t>Hepatitis B (HBV) core IgM (anti-HBc IgM)</t>
  </si>
  <si>
    <t>Hepatitis B (HBV) surface antigen (HBsAg)</t>
  </si>
  <si>
    <t>HBV surface antibody; anti HBs; HBsAg</t>
  </si>
  <si>
    <t>Hepatitis B virus (HBV) e antigen (HBeAg) and e antibody (Anti-HBe)</t>
  </si>
  <si>
    <t>Hepatitis B e antibody; Hepatitis B e antigen</t>
  </si>
  <si>
    <t>Hepatitis B virus Genotyping and Resistance Markers</t>
  </si>
  <si>
    <t>HBV resistance markers</t>
  </si>
  <si>
    <t>Hepatitis B virus viral load</t>
  </si>
  <si>
    <t>Hepatitis C antibody (HCV) screen and confirmation</t>
  </si>
  <si>
    <t>Anti-HCV antibody screen and confirmation</t>
  </si>
  <si>
    <t>Hepatitis C viral load</t>
  </si>
  <si>
    <t>Hepatitis D (delta) antibody</t>
  </si>
  <si>
    <t>Hepatitis E IgGВ (referral)</t>
  </si>
  <si>
    <t>Hepatitis E IgM</t>
  </si>
  <si>
    <t>Herpes simplex 1/2 antibody (type specific, IgM and total antibody)</t>
  </si>
  <si>
    <t>Herpes simplex virus types 1 and 2В PCR</t>
  </si>
  <si>
    <t>HFE</t>
  </si>
  <si>
    <t>High Risk HPV Test of Cure</t>
  </si>
  <si>
    <t>High Risk HPV triage</t>
  </si>
  <si>
    <t>Histone Abs</t>
  </si>
  <si>
    <t>Histoplasma (referral)</t>
  </si>
  <si>
    <t>HIV confirmation (screen test plus at least two further tests for HIV 1/2)В Virology</t>
  </si>
  <si>
    <t>HIV p24 antigenВ Virology</t>
  </si>
  <si>
    <t>HIV resistance, integrase, tropismВ Molecular Microbiology</t>
  </si>
  <si>
    <t>HIV screen (4th generation: HIV1 and 2 antibody and p24 antigen)</t>
  </si>
  <si>
    <t>Anti-HIV 1 and 2 antibody and p24 antigen screen</t>
  </si>
  <si>
    <t>HIV-1 viral load</t>
  </si>
  <si>
    <t>Human Herpes virus 6 &amp; 7</t>
  </si>
  <si>
    <t>HHV6 &amp; 7 PCR</t>
  </si>
  <si>
    <t>Human Papilloma Virus Screening</t>
  </si>
  <si>
    <t>Human Parvovirus B19 IgG</t>
  </si>
  <si>
    <t>Parvovirus B19 IgG</t>
  </si>
  <si>
    <t>Human Parvovirus B19 IgM</t>
  </si>
  <si>
    <t>Parvovirus B19 IgM</t>
  </si>
  <si>
    <t>Human Parvovirus B19 viral load</t>
  </si>
  <si>
    <t>Parvovirus B19 viral load</t>
  </si>
  <si>
    <t>Human T Lymphotropic virus (HTLV) 1 and 2</t>
  </si>
  <si>
    <t>HTLV 1 and 2 antibody</t>
  </si>
  <si>
    <t>IA2</t>
  </si>
  <si>
    <t>IgE (Total)</t>
  </si>
  <si>
    <t>IgG subclasses</t>
  </si>
  <si>
    <t>Immunocytochemistry</t>
  </si>
  <si>
    <t>Immunodeficiency (T&amp;B Lymphocyte Subsets)</t>
  </si>
  <si>
    <t>T&amp;B Lymphocyte Subsets</t>
  </si>
  <si>
    <t>ImmunofluorescenceВ Histopathology</t>
  </si>
  <si>
    <t>Immunoglobulin D, IgD</t>
  </si>
  <si>
    <t>Immunoglobulins (IgG, IgA, IgM)</t>
  </si>
  <si>
    <t>Inflammatory/non-inflammatory bursitis</t>
  </si>
  <si>
    <t>INR</t>
  </si>
  <si>
    <t>Insulin</t>
  </si>
  <si>
    <t>Insulin Antibodies</t>
  </si>
  <si>
    <t>Insulin-like Growth Factor 1</t>
  </si>
  <si>
    <t>IGF-1</t>
  </si>
  <si>
    <t>Insulin-like Growth Factor Binding Protein 3</t>
  </si>
  <si>
    <t>IGFBP-3</t>
  </si>
  <si>
    <t>Intravascular cannulae</t>
  </si>
  <si>
    <t>Tips</t>
  </si>
  <si>
    <t>Iron</t>
  </si>
  <si>
    <t>JC virus PCR</t>
  </si>
  <si>
    <t>Jejunal Disaccharidases</t>
  </si>
  <si>
    <t>Kleihauer test</t>
  </si>
  <si>
    <t>Lactate</t>
  </si>
  <si>
    <t>Lactate Dehydrogenase (LDH)</t>
  </si>
  <si>
    <t>Lamotrigine</t>
  </si>
  <si>
    <t>Legionella urinary antigen detection</t>
  </si>
  <si>
    <t>Leptospira (referral)</t>
  </si>
  <si>
    <t>Leukocyte Adhesion Deficiency (LAD) Markers</t>
  </si>
  <si>
    <t>Lipase (blood and fluid)</t>
  </si>
  <si>
    <t>Lipid profile incl. total cholesterol, LDL, HDL, triglyceride</t>
  </si>
  <si>
    <t>Lithium (serum)</t>
  </si>
  <si>
    <t>Liver FNA</t>
  </si>
  <si>
    <t>Liver Function Tests</t>
  </si>
  <si>
    <t>L-Selectin Shedding assay</t>
  </si>
  <si>
    <t>Lung FNA</t>
  </si>
  <si>
    <t>Lupus anticoagulant</t>
  </si>
  <si>
    <t>Luteinising Hormone</t>
  </si>
  <si>
    <t>LH</t>
  </si>
  <si>
    <t>Lyme Disease</t>
  </si>
  <si>
    <t>Lymph node FNA</t>
  </si>
  <si>
    <t>Magnesium (Blood and Urine)</t>
  </si>
  <si>
    <t>Malarial parasites, detection of</t>
  </si>
  <si>
    <t>Mannose Binding Lectins</t>
  </si>
  <si>
    <t>Manual blood film</t>
  </si>
  <si>
    <t>Mast Cell Tryptase</t>
  </si>
  <si>
    <t>Measles IgG</t>
  </si>
  <si>
    <t>Measles IgM</t>
  </si>
  <si>
    <t>Measles virus PCR</t>
  </si>
  <si>
    <t>Mediastinal mass FNA</t>
  </si>
  <si>
    <t>Meningococcal DNA detection by PCR (multiplex with Pneumococcal DNA PCR)</t>
  </si>
  <si>
    <t>Pneumococcal PCR</t>
  </si>
  <si>
    <t>Metadrenalines</t>
  </si>
  <si>
    <t>Met-haemoglobin</t>
  </si>
  <si>
    <t>Methotrexate</t>
  </si>
  <si>
    <t>Mouth swab</t>
  </si>
  <si>
    <t>MRSA</t>
  </si>
  <si>
    <t>Mumps IgG</t>
  </si>
  <si>
    <t>Mumps IgM</t>
  </si>
  <si>
    <t>Muscle Specific Tyrosine Kinase (MUSK)</t>
  </si>
  <si>
    <t>MUSK</t>
  </si>
  <si>
    <t>Mycoplasma PCR</t>
  </si>
  <si>
    <t>Myelin Associated Glycoprotein (MAG)</t>
  </si>
  <si>
    <t>MAG</t>
  </si>
  <si>
    <t>Myeloperoxidase (MPO) antibodies</t>
  </si>
  <si>
    <t>Myositis Antibodies</t>
  </si>
  <si>
    <t>NaГЇve Memory and Effector T Cell Subsets</t>
  </si>
  <si>
    <t>Neck FNA</t>
  </si>
  <si>
    <t>Neisseria meningitidis: Functional antibody to serogroup B by Serum Bactericidal Antibody Assay (SBA)</t>
  </si>
  <si>
    <t>Functional antibody to Neisseria meningitidis serogroup B by Serum Bactericidal Antibody Assay (SBA)</t>
  </si>
  <si>
    <t>Neisseria meningitidis: Functional antibody to serogroups A, C, W and Y by internationally standardised serum bactericidal antibody assays</t>
  </si>
  <si>
    <t>Meningococcal Serology; Molecular subtyping of isolates; Neisseria meningitidis serology</t>
  </si>
  <si>
    <t>Neisseria meningitidis: Minimum inhibitory concentration</t>
  </si>
  <si>
    <t>Neisseria meningitidis: Serogrouping and outer membrane typing</t>
  </si>
  <si>
    <t>Neisseria meningitidis isolate characterisation; Polysaccharide antigen detection</t>
  </si>
  <si>
    <t>Neutrophil Function (DHR) Test</t>
  </si>
  <si>
    <t>Non-specific inflammatory arthropathies</t>
  </si>
  <si>
    <t>Non-specific non-inflammatory arthropathies</t>
  </si>
  <si>
    <t>Nose Swab</t>
  </si>
  <si>
    <t>NT-proBNP</t>
  </si>
  <si>
    <t>Oesophageal brushings</t>
  </si>
  <si>
    <t>Oestradiol</t>
  </si>
  <si>
    <t>Oral Anticoagulant Control (INR)</t>
  </si>
  <si>
    <t>Orosomucoid</t>
  </si>
  <si>
    <t>Osmolality (Blood and Urine)</t>
  </si>
  <si>
    <t>Osteoarthritis</t>
  </si>
  <si>
    <t>Ova, Cysts and Parasites</t>
  </si>
  <si>
    <t>Bilharzia; Cryptosporidium; Entamoeba; Giardia lamblia; Parasites; Schistosoma haematobium</t>
  </si>
  <si>
    <t>Ovarian cyst FNA</t>
  </si>
  <si>
    <t>Ovary antibodies</t>
  </si>
  <si>
    <t>Pancreatic FNA</t>
  </si>
  <si>
    <t>Paracetamol</t>
  </si>
  <si>
    <t>Paraneoplastic Neuronal Antibodies</t>
  </si>
  <si>
    <t>Paratesticular FNA</t>
  </si>
  <si>
    <t>Parathyroid hormone</t>
  </si>
  <si>
    <t>PTH</t>
  </si>
  <si>
    <t>Perinatal post mortems</t>
  </si>
  <si>
    <t>Peritoneal fluid</t>
  </si>
  <si>
    <t>Peritoneal Fluids</t>
  </si>
  <si>
    <t>Peritoneal washings</t>
  </si>
  <si>
    <t>pH (blood and urine)</t>
  </si>
  <si>
    <t>Phenobarbitone</t>
  </si>
  <si>
    <t>Phenytoin</t>
  </si>
  <si>
    <t>Phosphate (blood and urine)</t>
  </si>
  <si>
    <t>PLA2R Antibodies</t>
  </si>
  <si>
    <t>Plasma viscosity</t>
  </si>
  <si>
    <t>Platelet Glycoprotein Expression</t>
  </si>
  <si>
    <t>Platelets Aggregation Studies</t>
  </si>
  <si>
    <t>Pleural fluid</t>
  </si>
  <si>
    <t>PLGF</t>
  </si>
  <si>
    <t>Pneumococcal urinary antigen detection</t>
  </si>
  <si>
    <t>Pneumocystis jirovecii PCR</t>
  </si>
  <si>
    <t>Post Trachelectomy Cytology</t>
  </si>
  <si>
    <t>Potassium</t>
  </si>
  <si>
    <t>PR3 autoantibodies (cANCA)</t>
  </si>
  <si>
    <t>Procalcitonin</t>
  </si>
  <si>
    <t>Procollagen III Peptide</t>
  </si>
  <si>
    <t>P3NP; PIIINP</t>
  </si>
  <si>
    <t>Progesterone</t>
  </si>
  <si>
    <t>Prolactin</t>
  </si>
  <si>
    <t>Prostate Specific Antigen</t>
  </si>
  <si>
    <t>Protein C</t>
  </si>
  <si>
    <t>Protein S</t>
  </si>
  <si>
    <t>Prothrombin time</t>
  </si>
  <si>
    <t>ProthrombinВ G20210A Mutation screen</t>
  </si>
  <si>
    <t>Pseudogout (pyrophosphate crystals)</t>
  </si>
  <si>
    <t>PVIS</t>
  </si>
  <si>
    <t>Q Fever Serology and PCR (referral)</t>
  </si>
  <si>
    <t>Quiescent gout (urate crystals)</t>
  </si>
  <si>
    <t>Rapid/routine Carbapenemase-Producing Enterobacteriaceae (CPE)В Screen</t>
  </si>
  <si>
    <t>CPE screen; Carbapenemase-Producing Enterobacteriaceae (CPE) Screen</t>
  </si>
  <si>
    <t>Reducing substances (faeces only)</t>
  </si>
  <si>
    <t>Renal FNA</t>
  </si>
  <si>
    <t>Renin concentration</t>
  </si>
  <si>
    <t>Resin embedding/thin sectioningВ Electron Microscopy</t>
  </si>
  <si>
    <t>Respiratory virus PCR</t>
  </si>
  <si>
    <t>Respiratory screen; adenovirus</t>
  </si>
  <si>
    <t>Retroperitoneal mass FNA</t>
  </si>
  <si>
    <t>Rheumatoid factor</t>
  </si>
  <si>
    <t>RIPA</t>
  </si>
  <si>
    <t>Ristocetin induced platelet aggregation (RIPA)</t>
  </si>
  <si>
    <t>Routine haemoglobinopathy screening</t>
  </si>
  <si>
    <t>Rubella Avidity (referral)</t>
  </si>
  <si>
    <t>Rubella IgG</t>
  </si>
  <si>
    <t>Rubella IgM</t>
  </si>
  <si>
    <t>Salicylate</t>
  </si>
  <si>
    <t>Salivary gland FNA</t>
  </si>
  <si>
    <t>Selenium</t>
  </si>
  <si>
    <t>Sero-negative arthropathies</t>
  </si>
  <si>
    <t>Sero-negative spondylarthropathies</t>
  </si>
  <si>
    <t>Serum 17-hydroxyprogesterone</t>
  </si>
  <si>
    <t>17-OHP</t>
  </si>
  <si>
    <t>Serum ferritin</t>
  </si>
  <si>
    <t>Serum folate</t>
  </si>
  <si>
    <t>Serum intrinisic factor antibodies</t>
  </si>
  <si>
    <t>Serum vitamin B12</t>
  </si>
  <si>
    <t>SHBG</t>
  </si>
  <si>
    <t>Sirolimus</t>
  </si>
  <si>
    <t>Skin antibodies</t>
  </si>
  <si>
    <t>Smooth muscle antibodies</t>
  </si>
  <si>
    <t>Gastric Parietal Cell (GPC); Liver Kidney Microsomal (LKM); Mitochondrial antibodies</t>
  </si>
  <si>
    <t>Sodium (blood and urine)</t>
  </si>
  <si>
    <t>Splenic FNA</t>
  </si>
  <si>
    <t>Гџ2 Microglobulin</t>
  </si>
  <si>
    <t>Stem cell sterility check</t>
  </si>
  <si>
    <t>Streptococcal serology (including anti-DNaseB)</t>
  </si>
  <si>
    <t>ASD</t>
  </si>
  <si>
    <t>Streptococcus pneumoniae serology</t>
  </si>
  <si>
    <t>Pneumococcal serotype-specific IgG</t>
  </si>
  <si>
    <t>Subcutaneous mass FNA</t>
  </si>
  <si>
    <t>Sweat tests</t>
  </si>
  <si>
    <t>Syphilis confirmation including Immunoblot</t>
  </si>
  <si>
    <t>Syphilis IgM; Treponema pallidum confirmation</t>
  </si>
  <si>
    <t>T Cell Activation Panel</t>
  </si>
  <si>
    <t>Tacrolimus (FK506, prograf)</t>
  </si>
  <si>
    <t>TB Gamma Interferon Release Assay (Quantiferon)</t>
  </si>
  <si>
    <t>Testicular FNA</t>
  </si>
  <si>
    <t>Testis antibodies</t>
  </si>
  <si>
    <t>Testosterone</t>
  </si>
  <si>
    <t>Tetanus antibodies</t>
  </si>
  <si>
    <t>Theophylline</t>
  </si>
  <si>
    <t>Therapeutic Drug Monitoring of anti-TNF therapies Infliximab and Adalimumab</t>
  </si>
  <si>
    <t>Thiopental</t>
  </si>
  <si>
    <t>Thiopurine metabolites</t>
  </si>
  <si>
    <t>Thiopurine Methyltransferase (TPMT)</t>
  </si>
  <si>
    <t>Throat Swab</t>
  </si>
  <si>
    <t>Thyroid FNA</t>
  </si>
  <si>
    <t>Thyroid peroxidase (TPO) antibodies</t>
  </si>
  <si>
    <t>TPO</t>
  </si>
  <si>
    <t>Thyroid Stimulating Hormone</t>
  </si>
  <si>
    <t>TSH</t>
  </si>
  <si>
    <t>Tissue and biopsies</t>
  </si>
  <si>
    <t>Tobramycin</t>
  </si>
  <si>
    <t>Total Protein</t>
  </si>
  <si>
    <t>Protein creatine ratio</t>
  </si>
  <si>
    <t>Toxoplasma PCR</t>
  </si>
  <si>
    <t>Toxoplasma serology (avidity)</t>
  </si>
  <si>
    <t>Toxoplasma serology (IgG)</t>
  </si>
  <si>
    <t>Toxoplasma serology (IgM)</t>
  </si>
  <si>
    <t>Transferrin (and saturation)</t>
  </si>
  <si>
    <t>Treponema pallidum screen</t>
  </si>
  <si>
    <t>Syphilis antibody; Treponema pallidum (syphilis) PCR</t>
  </si>
  <si>
    <t>Triglycerides</t>
  </si>
  <si>
    <t>Triiodothyronine (free T3)</t>
  </si>
  <si>
    <t>Troponin T</t>
  </si>
  <si>
    <t>TSH Receptor Antibodies</t>
  </si>
  <si>
    <t>Type I Procollagen N terminal Peptide</t>
  </si>
  <si>
    <t>P1NP</t>
  </si>
  <si>
    <t>Universal Antenatal Haemoglobinopathy Screening</t>
  </si>
  <si>
    <t>Urate (blood and urine)</t>
  </si>
  <si>
    <t>Urea (blood and urine)</t>
  </si>
  <si>
    <t>Ureteric washing</t>
  </si>
  <si>
    <t>Urethral washing</t>
  </si>
  <si>
    <t>Urine (voided, catheterised, instrumented or from ileal conduit)</t>
  </si>
  <si>
    <t>Urines</t>
  </si>
  <si>
    <t>Valproate</t>
  </si>
  <si>
    <t>Vancomycin</t>
  </si>
  <si>
    <t>Varicella Zoster IgG</t>
  </si>
  <si>
    <t>Varicella Zoster IgM</t>
  </si>
  <si>
    <t>Varicella-zoster virus PCR</t>
  </si>
  <si>
    <t>Vault Cytology</t>
  </si>
  <si>
    <t>Vitamin A (retinol)</t>
  </si>
  <si>
    <t>Vitamin B12</t>
  </si>
  <si>
    <t>Vitamin D</t>
  </si>
  <si>
    <t>Vitamin E (Tocopherol)</t>
  </si>
  <si>
    <t>Voltage-Gated Calcium Channel Antibodies</t>
  </si>
  <si>
    <t>Voltage-Gated Potassium Channel Antibodies</t>
  </si>
  <si>
    <t>VRE screening</t>
  </si>
  <si>
    <t>Vulval Cytology</t>
  </si>
  <si>
    <t>Wear and/or loosening of prosthetic joints</t>
  </si>
  <si>
    <t>Xanthochromia Screen (CSF)</t>
  </si>
  <si>
    <t>Zinc</t>
  </si>
  <si>
    <t>Zinc Transporter 8 (ZnT8) antibodies</t>
  </si>
  <si>
    <t>updateFromToOnClose</t>
  </si>
  <si>
    <t xml:space="preserve"> </t>
  </si>
  <si>
    <t>Ascitic</t>
  </si>
  <si>
    <t>105-005</t>
  </si>
  <si>
    <t>102-004</t>
  </si>
  <si>
    <t>101-016</t>
  </si>
  <si>
    <t>101-014</t>
  </si>
  <si>
    <t>103-003</t>
  </si>
  <si>
    <t>103-008</t>
  </si>
  <si>
    <t>105-007</t>
  </si>
  <si>
    <t>105-008</t>
  </si>
  <si>
    <t>101-038</t>
  </si>
  <si>
    <t>104-013</t>
  </si>
  <si>
    <t>101-001</t>
  </si>
  <si>
    <t>102-001</t>
  </si>
  <si>
    <t>103-001</t>
  </si>
  <si>
    <t>104-001</t>
  </si>
  <si>
    <t>101-002</t>
  </si>
  <si>
    <t>102-002</t>
  </si>
  <si>
    <t>105-001</t>
  </si>
  <si>
    <t>101-003</t>
  </si>
  <si>
    <t>101-004</t>
  </si>
  <si>
    <t>104-002</t>
  </si>
  <si>
    <t>106-001</t>
  </si>
  <si>
    <t>104-003</t>
  </si>
  <si>
    <t>102-003</t>
  </si>
  <si>
    <t>101-005</t>
  </si>
  <si>
    <t>101-006</t>
  </si>
  <si>
    <t>101-007</t>
  </si>
  <si>
    <t>101-008</t>
  </si>
  <si>
    <t>101-009</t>
  </si>
  <si>
    <t>101-010</t>
  </si>
  <si>
    <t>101-011</t>
  </si>
  <si>
    <t>101-012</t>
  </si>
  <si>
    <t>104-004</t>
  </si>
  <si>
    <t>101-013</t>
  </si>
  <si>
    <t>101-015</t>
  </si>
  <si>
    <t>101-017</t>
  </si>
  <si>
    <t>101-018</t>
  </si>
  <si>
    <t>104-005</t>
  </si>
  <si>
    <t>104-006</t>
  </si>
  <si>
    <t>104-007</t>
  </si>
  <si>
    <t>103-002</t>
  </si>
  <si>
    <t>105-002</t>
  </si>
  <si>
    <t>105-003</t>
  </si>
  <si>
    <t>104-008</t>
  </si>
  <si>
    <t>107-001</t>
  </si>
  <si>
    <t>104-009</t>
  </si>
  <si>
    <t>104-010</t>
  </si>
  <si>
    <t>105-004</t>
  </si>
  <si>
    <t>104-011</t>
  </si>
  <si>
    <t>104-012</t>
  </si>
  <si>
    <t>101-019</t>
  </si>
  <si>
    <t>108-001</t>
  </si>
  <si>
    <t>104-014</t>
  </si>
  <si>
    <t>104-015</t>
  </si>
  <si>
    <t>104-016</t>
  </si>
  <si>
    <t>107-002</t>
  </si>
  <si>
    <t>104-017</t>
  </si>
  <si>
    <t>104-018</t>
  </si>
  <si>
    <t>101-020</t>
  </si>
  <si>
    <t>101-021</t>
  </si>
  <si>
    <t>101-022</t>
  </si>
  <si>
    <t>102-005</t>
  </si>
  <si>
    <t>101-023</t>
  </si>
  <si>
    <t>101-024</t>
  </si>
  <si>
    <t>108-002</t>
  </si>
  <si>
    <t>102-006</t>
  </si>
  <si>
    <t>107-003</t>
  </si>
  <si>
    <t>105-006</t>
  </si>
  <si>
    <t>101-025</t>
  </si>
  <si>
    <t>101-026</t>
  </si>
  <si>
    <t>108-003</t>
  </si>
  <si>
    <t>105-009</t>
  </si>
  <si>
    <t>108-004</t>
  </si>
  <si>
    <t>101-027</t>
  </si>
  <si>
    <t>102-007</t>
  </si>
  <si>
    <t>102-008</t>
  </si>
  <si>
    <t>102-009</t>
  </si>
  <si>
    <t>107-004</t>
  </si>
  <si>
    <t>101-028</t>
  </si>
  <si>
    <t>104-019</t>
  </si>
  <si>
    <t>104-020</t>
  </si>
  <si>
    <t>104-021</t>
  </si>
  <si>
    <t>104-022</t>
  </si>
  <si>
    <t>101-029</t>
  </si>
  <si>
    <t>101-030</t>
  </si>
  <si>
    <t>101-031</t>
  </si>
  <si>
    <t>101-032</t>
  </si>
  <si>
    <t>101-033</t>
  </si>
  <si>
    <t>101-034</t>
  </si>
  <si>
    <t>107-005</t>
  </si>
  <si>
    <t>108-005</t>
  </si>
  <si>
    <t>107-006</t>
  </si>
  <si>
    <t>101-035</t>
  </si>
  <si>
    <t>101-036</t>
  </si>
  <si>
    <t>104-023</t>
  </si>
  <si>
    <t>104-024</t>
  </si>
  <si>
    <t>104-025</t>
  </si>
  <si>
    <t>101-037</t>
  </si>
  <si>
    <t>104-026</t>
  </si>
  <si>
    <t>104-027</t>
  </si>
  <si>
    <t>102-010</t>
  </si>
  <si>
    <t>109-001</t>
  </si>
  <si>
    <t>104-028</t>
  </si>
  <si>
    <t>101-039</t>
  </si>
  <si>
    <t>108-006</t>
  </si>
  <si>
    <t>101-040</t>
  </si>
  <si>
    <t>101-041</t>
  </si>
  <si>
    <t>101-042</t>
  </si>
  <si>
    <t>101-043</t>
  </si>
  <si>
    <t>104-029</t>
  </si>
  <si>
    <t>103-004</t>
  </si>
  <si>
    <t>108-007</t>
  </si>
  <si>
    <t>107-007</t>
  </si>
  <si>
    <t>107-008</t>
  </si>
  <si>
    <t>107-009</t>
  </si>
  <si>
    <t>108-008</t>
  </si>
  <si>
    <t>101-044</t>
  </si>
  <si>
    <t>107-010</t>
  </si>
  <si>
    <t>104-030</t>
  </si>
  <si>
    <t>105-010</t>
  </si>
  <si>
    <t>104-031</t>
  </si>
  <si>
    <t>104-032</t>
  </si>
  <si>
    <t>103-005</t>
  </si>
  <si>
    <t>101-045</t>
  </si>
  <si>
    <t>105-011</t>
  </si>
  <si>
    <t>103-006</t>
  </si>
  <si>
    <t>107-011</t>
  </si>
  <si>
    <t>108-009</t>
  </si>
  <si>
    <t>101-046</t>
  </si>
  <si>
    <t>104-033</t>
  </si>
  <si>
    <t>101-047</t>
  </si>
  <si>
    <t>101-048</t>
  </si>
  <si>
    <t>101-049</t>
  </si>
  <si>
    <t>101-050</t>
  </si>
  <si>
    <t>101-051</t>
  </si>
  <si>
    <t>104-034</t>
  </si>
  <si>
    <t>105-012</t>
  </si>
  <si>
    <t>104-035</t>
  </si>
  <si>
    <t>107-012</t>
  </si>
  <si>
    <t>103-007</t>
  </si>
  <si>
    <t>105-013</t>
  </si>
  <si>
    <t>101-052</t>
  </si>
  <si>
    <t>101-053</t>
  </si>
  <si>
    <t>101-054</t>
  </si>
  <si>
    <t>103-009</t>
  </si>
  <si>
    <t>101-055</t>
  </si>
  <si>
    <t>110-001</t>
  </si>
  <si>
    <t>105-014</t>
  </si>
  <si>
    <t>105-015</t>
  </si>
  <si>
    <t>104-036</t>
  </si>
  <si>
    <t>104-037</t>
  </si>
  <si>
    <t>107-013</t>
  </si>
  <si>
    <t>107-014</t>
  </si>
  <si>
    <t>101-056</t>
  </si>
  <si>
    <t>103-010</t>
  </si>
  <si>
    <t>107-015</t>
  </si>
  <si>
    <t>101-057</t>
  </si>
  <si>
    <t>107-016</t>
  </si>
  <si>
    <t>101-058</t>
  </si>
  <si>
    <t>101-059</t>
  </si>
  <si>
    <t>111-001</t>
  </si>
  <si>
    <t>104-038</t>
  </si>
  <si>
    <t>107-017</t>
  </si>
  <si>
    <t>108-010</t>
  </si>
  <si>
    <t>111-002</t>
  </si>
  <si>
    <t>105-016</t>
  </si>
  <si>
    <t>107-018</t>
  </si>
  <si>
    <t>108-011</t>
  </si>
  <si>
    <t>105-017</t>
  </si>
  <si>
    <t>105-018</t>
  </si>
  <si>
    <t>101-060</t>
  </si>
  <si>
    <t>103-011</t>
  </si>
  <si>
    <t>105-019</t>
  </si>
  <si>
    <t>105-020</t>
  </si>
  <si>
    <t>105-021</t>
  </si>
  <si>
    <t>105-022</t>
  </si>
  <si>
    <t>105-023</t>
  </si>
  <si>
    <t>105-024</t>
  </si>
  <si>
    <t>105-025</t>
  </si>
  <si>
    <t>105-026</t>
  </si>
  <si>
    <t>105-027</t>
  </si>
  <si>
    <t>105-028</t>
  </si>
  <si>
    <t>105-029</t>
  </si>
  <si>
    <t>101-061</t>
  </si>
  <si>
    <t>101-062</t>
  </si>
  <si>
    <t>103-012</t>
  </si>
  <si>
    <t>112-001</t>
  </si>
  <si>
    <t>105-030</t>
  </si>
  <si>
    <t>105-031</t>
  </si>
  <si>
    <t>112-002</t>
  </si>
  <si>
    <t>112-003</t>
  </si>
  <si>
    <t>112-004</t>
  </si>
  <si>
    <t>101-063</t>
  </si>
  <si>
    <t>105-032</t>
  </si>
  <si>
    <t>105-033</t>
  </si>
  <si>
    <t>103-013</t>
  </si>
  <si>
    <t>101-064</t>
  </si>
  <si>
    <t>101-065</t>
  </si>
  <si>
    <t>101-066</t>
  </si>
  <si>
    <t>104-039</t>
  </si>
  <si>
    <t>101-067</t>
  </si>
  <si>
    <t>101-068</t>
  </si>
  <si>
    <t>105-034</t>
  </si>
  <si>
    <t>105-035</t>
  </si>
  <si>
    <t>105-036</t>
  </si>
  <si>
    <t>104-040</t>
  </si>
  <si>
    <t>107-019</t>
  </si>
  <si>
    <t>101-069</t>
  </si>
  <si>
    <t>104-041</t>
  </si>
  <si>
    <t>104-042</t>
  </si>
  <si>
    <t>103-014</t>
  </si>
  <si>
    <t>101-070</t>
  </si>
  <si>
    <t>105-037</t>
  </si>
  <si>
    <t>104-043</t>
  </si>
  <si>
    <t>101-071</t>
  </si>
  <si>
    <t>104-044</t>
  </si>
  <si>
    <t>101-072</t>
  </si>
  <si>
    <t>112-005</t>
  </si>
  <si>
    <t>112-006</t>
  </si>
  <si>
    <t>101-073</t>
  </si>
  <si>
    <t>105-038</t>
  </si>
  <si>
    <t>105-039</t>
  </si>
  <si>
    <t>110-002</t>
  </si>
  <si>
    <t>105-040</t>
  </si>
  <si>
    <t>101-074</t>
  </si>
  <si>
    <t>108-012</t>
  </si>
  <si>
    <t>103-015</t>
  </si>
  <si>
    <t>103-016</t>
  </si>
  <si>
    <t>105-041</t>
  </si>
  <si>
    <t>107-020</t>
  </si>
  <si>
    <t>107-021</t>
  </si>
  <si>
    <t>107-022</t>
  </si>
  <si>
    <t>107-023</t>
  </si>
  <si>
    <t>107-024</t>
  </si>
  <si>
    <t>107-025</t>
  </si>
  <si>
    <t>107-026</t>
  </si>
  <si>
    <t>108-013</t>
  </si>
  <si>
    <t>106-002</t>
  </si>
  <si>
    <t>107-027</t>
  </si>
  <si>
    <t>108-014</t>
  </si>
  <si>
    <t>107-028</t>
  </si>
  <si>
    <t>107-029</t>
  </si>
  <si>
    <t>107-030</t>
  </si>
  <si>
    <t>107-031</t>
  </si>
  <si>
    <t>108-015</t>
  </si>
  <si>
    <t>105-042</t>
  </si>
  <si>
    <t>109-002</t>
  </si>
  <si>
    <t>109-003</t>
  </si>
  <si>
    <t>104-045</t>
  </si>
  <si>
    <t>107-032</t>
  </si>
  <si>
    <t>107-033</t>
  </si>
  <si>
    <t>107-034</t>
  </si>
  <si>
    <t>108-016</t>
  </si>
  <si>
    <t>107-035</t>
  </si>
  <si>
    <t>108-017</t>
  </si>
  <si>
    <t>108-018</t>
  </si>
  <si>
    <t>108-019</t>
  </si>
  <si>
    <t>107-036</t>
  </si>
  <si>
    <t>107-037</t>
  </si>
  <si>
    <t>108-020</t>
  </si>
  <si>
    <t>107-038</t>
  </si>
  <si>
    <t>104-046</t>
  </si>
  <si>
    <t>104-047</t>
  </si>
  <si>
    <t>104-048</t>
  </si>
  <si>
    <t>102-011</t>
  </si>
  <si>
    <t>111-003</t>
  </si>
  <si>
    <t>104-049</t>
  </si>
  <si>
    <t>111-004</t>
  </si>
  <si>
    <t>104-050</t>
  </si>
  <si>
    <t>104-051</t>
  </si>
  <si>
    <t>112-007</t>
  </si>
  <si>
    <t>105-043</t>
  </si>
  <si>
    <t>101-075</t>
  </si>
  <si>
    <t>104-052</t>
  </si>
  <si>
    <t>101-076</t>
  </si>
  <si>
    <t>101-077</t>
  </si>
  <si>
    <t>103-017</t>
  </si>
  <si>
    <t>101-078</t>
  </si>
  <si>
    <t>108-021</t>
  </si>
  <si>
    <t>101-079</t>
  </si>
  <si>
    <t>105-044</t>
  </si>
  <si>
    <t>101-080</t>
  </si>
  <si>
    <t>101-081</t>
  </si>
  <si>
    <t>101-082</t>
  </si>
  <si>
    <t>107-039</t>
  </si>
  <si>
    <t>107-040</t>
  </si>
  <si>
    <t>104-053</t>
  </si>
  <si>
    <t>101-083</t>
  </si>
  <si>
    <t>101-084</t>
  </si>
  <si>
    <t>101-085</t>
  </si>
  <si>
    <t>102-012</t>
  </si>
  <si>
    <t>101-086</t>
  </si>
  <si>
    <t>104-054</t>
  </si>
  <si>
    <t>102-013</t>
  </si>
  <si>
    <t>105-045</t>
  </si>
  <si>
    <t>101-087</t>
  </si>
  <si>
    <t>107-041</t>
  </si>
  <si>
    <t>102-014</t>
  </si>
  <si>
    <t>101-088</t>
  </si>
  <si>
    <t>105-046</t>
  </si>
  <si>
    <t>104-055</t>
  </si>
  <si>
    <t>105-047</t>
  </si>
  <si>
    <t>104-056</t>
  </si>
  <si>
    <t>107-042</t>
  </si>
  <si>
    <t>107-043</t>
  </si>
  <si>
    <t>107-044</t>
  </si>
  <si>
    <t>102-015</t>
  </si>
  <si>
    <t>108-022</t>
  </si>
  <si>
    <t>101-089</t>
  </si>
  <si>
    <t>101-090</t>
  </si>
  <si>
    <t>101-091</t>
  </si>
  <si>
    <t>103-018</t>
  </si>
  <si>
    <t>103-019</t>
  </si>
  <si>
    <t>107-045</t>
  </si>
  <si>
    <t>107-046</t>
  </si>
  <si>
    <t>104-057</t>
  </si>
  <si>
    <t>108-023</t>
  </si>
  <si>
    <t>104-058</t>
  </si>
  <si>
    <t>104-059</t>
  </si>
  <si>
    <t>104-060</t>
  </si>
  <si>
    <t>104-061</t>
  </si>
  <si>
    <t>102-016</t>
  </si>
  <si>
    <t>110-003</t>
  </si>
  <si>
    <t>110-004</t>
  </si>
  <si>
    <t>113-001</t>
  </si>
  <si>
    <t>113-002</t>
  </si>
  <si>
    <t>104-062</t>
  </si>
  <si>
    <t>112-008</t>
  </si>
  <si>
    <t>112-009</t>
  </si>
  <si>
    <t>103-020</t>
  </si>
  <si>
    <t>101-092</t>
  </si>
  <si>
    <t>102-017</t>
  </si>
  <si>
    <t>101-093</t>
  </si>
  <si>
    <t>105-048</t>
  </si>
  <si>
    <t>101-094</t>
  </si>
  <si>
    <t>101-095</t>
  </si>
  <si>
    <t>112-010</t>
  </si>
  <si>
    <t>103-021</t>
  </si>
  <si>
    <t>102-018</t>
  </si>
  <si>
    <t>104-063</t>
  </si>
  <si>
    <t>102-019</t>
  </si>
  <si>
    <t>101-096</t>
  </si>
  <si>
    <t>104-064</t>
  </si>
  <si>
    <t>102-020</t>
  </si>
  <si>
    <t>101-097</t>
  </si>
  <si>
    <t>111-005</t>
  </si>
  <si>
    <t>102-021</t>
  </si>
  <si>
    <t>103-022</t>
  </si>
  <si>
    <t>102-022</t>
  </si>
  <si>
    <t>101-098</t>
  </si>
  <si>
    <t>101-099</t>
  </si>
  <si>
    <t>101-100</t>
  </si>
  <si>
    <t>101-101</t>
  </si>
  <si>
    <t>104-065</t>
  </si>
  <si>
    <t>105-049</t>
  </si>
  <si>
    <t>104-066</t>
  </si>
  <si>
    <t>105-050</t>
  </si>
  <si>
    <t>102-023</t>
  </si>
  <si>
    <t>101-102</t>
  </si>
  <si>
    <t>107-047</t>
  </si>
  <si>
    <t>108-024</t>
  </si>
  <si>
    <t>109-004</t>
  </si>
  <si>
    <t>101-103</t>
  </si>
  <si>
    <t>104-067</t>
  </si>
  <si>
    <t>101-104</t>
  </si>
  <si>
    <t>101-105</t>
  </si>
  <si>
    <t>101-106</t>
  </si>
  <si>
    <t>101-107</t>
  </si>
  <si>
    <t>101-108</t>
  </si>
  <si>
    <t>105-051</t>
  </si>
  <si>
    <t>105-052</t>
  </si>
  <si>
    <t>105-053</t>
  </si>
  <si>
    <t>105-054</t>
  </si>
  <si>
    <t>112-011</t>
  </si>
  <si>
    <t>105-055</t>
  </si>
  <si>
    <t>107-048</t>
  </si>
  <si>
    <t>112-012</t>
  </si>
  <si>
    <t>103-023</t>
  </si>
  <si>
    <t>101-109</t>
  </si>
  <si>
    <t>102-024</t>
  </si>
  <si>
    <t>101-110</t>
  </si>
  <si>
    <t>111-006</t>
  </si>
  <si>
    <t>103-024</t>
  </si>
  <si>
    <t>108-025</t>
  </si>
  <si>
    <t>105-056</t>
  </si>
  <si>
    <t>102-025</t>
  </si>
  <si>
    <t>104-068</t>
  </si>
  <si>
    <t>105-057</t>
  </si>
  <si>
    <t>105-058</t>
  </si>
  <si>
    <t>105-059</t>
  </si>
  <si>
    <t>107-049</t>
  </si>
  <si>
    <t>107-050</t>
  </si>
  <si>
    <t>107-051</t>
  </si>
  <si>
    <t>101-111</t>
  </si>
  <si>
    <t>102-026</t>
  </si>
  <si>
    <t>101-112</t>
  </si>
  <si>
    <t>112-013</t>
  </si>
  <si>
    <t>112-014</t>
  </si>
  <si>
    <t>101-113</t>
  </si>
  <si>
    <t>105-060</t>
  </si>
  <si>
    <t>105-061</t>
  </si>
  <si>
    <t>105-062</t>
  </si>
  <si>
    <t>104-069</t>
  </si>
  <si>
    <t>105-063</t>
  </si>
  <si>
    <t>101-114</t>
  </si>
  <si>
    <t>101-115</t>
  </si>
  <si>
    <t>104-070</t>
  </si>
  <si>
    <t>104-071</t>
  </si>
  <si>
    <t>101-116</t>
  </si>
  <si>
    <t>102-027</t>
  </si>
  <si>
    <t>102-028</t>
  </si>
  <si>
    <t>104-072</t>
  </si>
  <si>
    <t>103-025</t>
  </si>
  <si>
    <t>107-052</t>
  </si>
  <si>
    <t>110-005</t>
  </si>
  <si>
    <t>102-029</t>
  </si>
  <si>
    <t>101-117</t>
  </si>
  <si>
    <t>107-053</t>
  </si>
  <si>
    <t>104-073</t>
  </si>
  <si>
    <t>101-118</t>
  </si>
  <si>
    <t>104-074</t>
  </si>
  <si>
    <t>102-030</t>
  </si>
  <si>
    <t>104-075</t>
  </si>
  <si>
    <t>101-119</t>
  </si>
  <si>
    <t>110-006</t>
  </si>
  <si>
    <t>101-120</t>
  </si>
  <si>
    <t>104-076</t>
  </si>
  <si>
    <t>101-121</t>
  </si>
  <si>
    <t>101-122</t>
  </si>
  <si>
    <t>101-123</t>
  </si>
  <si>
    <t>103-026</t>
  </si>
  <si>
    <t>102-031</t>
  </si>
  <si>
    <t>101-124</t>
  </si>
  <si>
    <t>101-125</t>
  </si>
  <si>
    <t>103-027</t>
  </si>
  <si>
    <t>101-126</t>
  </si>
  <si>
    <t>101-127</t>
  </si>
  <si>
    <t>108-026</t>
  </si>
  <si>
    <t>107-054</t>
  </si>
  <si>
    <t>107-055</t>
  </si>
  <si>
    <t>107-056</t>
  </si>
  <si>
    <t>101-128</t>
  </si>
  <si>
    <t>107-057</t>
  </si>
  <si>
    <t>101-129</t>
  </si>
  <si>
    <t>101-130</t>
  </si>
  <si>
    <t>101-131</t>
  </si>
  <si>
    <t>104-077</t>
  </si>
  <si>
    <t>101-132</t>
  </si>
  <si>
    <t>105-064</t>
  </si>
  <si>
    <t>101-133</t>
  </si>
  <si>
    <t>101-134</t>
  </si>
  <si>
    <t>102-032</t>
  </si>
  <si>
    <t>102-033</t>
  </si>
  <si>
    <t>102-034</t>
  </si>
  <si>
    <t>103-028</t>
  </si>
  <si>
    <t>101-135</t>
  </si>
  <si>
    <t>101-136</t>
  </si>
  <si>
    <t>107-058</t>
  </si>
  <si>
    <t>107-059</t>
  </si>
  <si>
    <t>108-027</t>
  </si>
  <si>
    <t>109-005</t>
  </si>
  <si>
    <t>101-137</t>
  </si>
  <si>
    <t>101-138</t>
  </si>
  <si>
    <t>101-139</t>
  </si>
  <si>
    <t>101-140</t>
  </si>
  <si>
    <t>104-078</t>
  </si>
  <si>
    <t>104-079</t>
  </si>
  <si>
    <t>103-029</t>
  </si>
  <si>
    <t>109-006</t>
  </si>
  <si>
    <t>112-015</t>
  </si>
  <si>
    <t>101-141</t>
  </si>
  <si>
    <t>101-142</t>
  </si>
  <si>
    <t>104-080</t>
  </si>
  <si>
    <t>C1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</si>
</sst>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64" formatCode="0.0"/>
  </numFmts>
  <fonts count="6" x14ac:knownFonts="1">
    <font>
      <sz val="11"/>
      <color theme="1"/>
      <name val="Calibri"/>
      <family val="2"/>
      <scheme val="minor"/>
    </font>
    <font>
      <sz val="8"/>
      <name val="Calibri"/>
      <family val="2"/>
      <scheme val="minor"/>
    </font>
    <font>
      <sz val="9"/>
      <color indexed="81"/>
      <name val="Tahoma"/>
      <family val="2"/>
      <charset val="204"/>
    </font>
    <font>
      <sz val="10"/>
      <color rgb="FF000000"/>
      <name val="Calibri"/>
      <family val="2"/>
    </font>
    <font>
      <sz val="11"/>
      <color rgb="FF000000"/>
      <name val="Calibri"/>
      <family val="2"/>
    </font>
    <font>
      <b/>
      <sz val="9"/>
      <color indexed="81"/>
      <name val="Tahoma"/>
      <family val="2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6">
    <xf numFmtId="0" fontId="0" fillId="0" borderId="0" xfId="0"/>
    <xf numFmtId="0" fontId="0" fillId="0" borderId="0" xfId="0" applyNumberFormat="1"/>
    <xf numFmtId="49" fontId="0" fillId="0" borderId="0" xfId="0" applyNumberFormat="1"/>
    <xf numFmtId="164" fontId="0" fillId="0" borderId="0" xfId="0" applyNumberFormat="1"/>
    <xf numFmtId="0" fontId="0" fillId="0" borderId="0" xfId="0" applyFill="1"/>
    <xf numFmtId="1" fontId="0" fillId="0" borderId="0" xfId="0" applyNumberFormat="1"/>
  </cellXfs>
  <cellStyles count="1">
    <cellStyle name="Normal" xfId="0" builtinId="0"/>
  </cellStyles>
  <dxfs count="15">
    <dxf>
      <font>
        <color rgb="FF9C5700"/>
      </font>
      <fill>
        <patternFill>
          <bgColor rgb="FFFFEB9C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1" formatCode="0"/>
    </dxf>
    <dxf>
      <numFmt numFmtId="164" formatCode="0.0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12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onnections" Target="connections.xml"/><Relationship Id="rId11" Type="http://schemas.openxmlformats.org/officeDocument/2006/relationships/customXml" Target="../customXml/item1.xml"/><Relationship Id="rId5" Type="http://schemas.openxmlformats.org/officeDocument/2006/relationships/theme" Target="theme/theme1.xml"/><Relationship Id="rId10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sheetMetadata" Target="metadata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57150</xdr:colOff>
          <xdr:row>0</xdr:row>
          <xdr:rowOff>69850</xdr:rowOff>
        </xdr:from>
        <xdr:to>
          <xdr:col>0</xdr:col>
          <xdr:colOff>1104900</xdr:colOff>
          <xdr:row>2</xdr:row>
          <xdr:rowOff>31750</xdr:rowOff>
        </xdr:to>
        <xdr:sp macro="" textlink="">
          <xdr:nvSpPr>
            <xdr:cNvPr id="1026" name="Button 2" descr="Click this button to update the fromTo table for fuzzy matching. This tool helps with the learning process." hidden="1">
              <a:extLst>
                <a:ext uri="{63B3BB69-23CF-44E3-9099-C40C66FF867C}">
                  <a14:compatExt spid="_x0000_s1026"/>
                </a:ext>
                <a:ext uri="{FF2B5EF4-FFF2-40B4-BE49-F238E27FC236}">
                  <a16:creationId xmlns:a16="http://schemas.microsoft.com/office/drawing/2014/main" id="{00000000-0008-0000-0000-00000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UpdateFromTo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0</xdr:colOff>
          <xdr:row>0</xdr:row>
          <xdr:rowOff>0</xdr:rowOff>
        </xdr:from>
        <xdr:to>
          <xdr:col>0</xdr:col>
          <xdr:colOff>1276350</xdr:colOff>
          <xdr:row>0</xdr:row>
          <xdr:rowOff>431800</xdr:rowOff>
        </xdr:to>
        <xdr:sp macro="" textlink="">
          <xdr:nvSpPr>
            <xdr:cNvPr id="2049" name="Button 1" hidden="1">
              <a:extLst>
                <a:ext uri="{63B3BB69-23CF-44E3-9099-C40C66FF867C}">
                  <a14:compatExt spid="_x0000_s2049"/>
                </a:ext>
                <a:ext uri="{FF2B5EF4-FFF2-40B4-BE49-F238E27FC236}">
                  <a16:creationId xmlns:a16="http://schemas.microsoft.com/office/drawing/2014/main" id="{00000000-0008-0000-0200-000001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UpdateFromTo</a:t>
              </a:r>
            </a:p>
          </xdr:txBody>
        </xdr:sp>
        <xdr:clientData fPrintsWithSheet="0"/>
      </xdr:twoCellAnchor>
    </mc:Choice>
    <mc:Fallback/>
  </mc:AlternateContent>
</xdr:wsDr>
</file>

<file path=xl/queryTables/queryTable1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" adjustColumnWidth="0" connectionId="6" xr16:uid="{5C773B1A-58F6-4BD4-B4EB-CE567B81B29D}" autoFormatId="16" applyNumberFormats="0" applyBorderFormats="0" applyFontFormats="0" applyPatternFormats="0" applyAlignmentFormats="0" applyWidthHeightFormats="0">
  <queryTableRefresh nextId="43" unboundColumnsRight="4">
    <queryTableFields count="6">
      <queryTableField id="1" name="search" tableColumnId="1"/>
      <queryTableField id="15" name="code" tableColumnId="2"/>
      <queryTableField id="37" dataBound="0" tableColumnId="5"/>
      <queryTableField id="36" dataBound="0" tableColumnId="4"/>
      <queryTableField id="39" dataBound="0" tableColumnId="7"/>
      <queryTableField id="42" dataBound="0" tableColumnId="23"/>
    </queryTableFields>
    <queryTableDeletedFields count="1">
      <deletedField name="matchCoef"/>
    </queryTableDeletedFields>
  </queryTableRefresh>
</queryTable>
</file>

<file path=xl/queryTables/queryTable2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2" adjustColumnWidth="0" connectionId="1" xr16:uid="{117A5440-1894-451A-8E2B-1392C68AD7EA}" autoFormatId="16" applyNumberFormats="0" applyBorderFormats="0" applyFontFormats="0" applyPatternFormats="0" applyAlignmentFormats="0" applyWidthHeightFormats="0">
  <queryTableRefresh nextId="9">
    <queryTableFields count="5">
      <queryTableField id="1" name="code" tableColumnId="1"/>
      <queryTableField id="2" name="name" tableColumnId="2"/>
      <queryTableField id="4" name="comment" tableColumnId="4"/>
      <queryTableField id="5" name="price" tableColumnId="5"/>
      <queryTableField id="6" name="costprice" tableColumnId="6"/>
    </queryTableFields>
    <queryTableDeletedFields count="1">
      <deletedField name="idGroup"/>
    </queryTableDeletedFields>
  </queryTableRefresh>
</queryTable>
</file>

<file path=xl/tables/_rels/table1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1.xml"/></Relationships>
</file>

<file path=xl/tables/_rels/table2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2.xml"/></Relationships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ABE3005F-28E4-49B2-B6C0-E200355BB422}" name="searching" displayName="searching" ref="B1:G4" tableType="queryTable" totalsRowShown="0">
  <autoFilter ref="B1:G4" xr:uid="{ABE3005F-28E4-49B2-B6C0-E200355BB422}"/>
  <tableColumns count="6">
    <tableColumn id="1" xr3:uid="{A1187472-3313-4A99-B374-57183CDF10EF}" uniqueName="1" name="search" queryTableFieldId="1" dataDxfId="14"/>
    <tableColumn id="2" xr3:uid="{50770763-371C-410D-8B47-7D573FD76EF6}" uniqueName="2" name="code" queryTableFieldId="15" dataDxfId="13"/>
    <tableColumn id="5" xr3:uid="{E2E56041-A19A-449A-9045-F580E8F7CCCF}" uniqueName="5" name="name" queryTableFieldId="37" dataDxfId="12">
      <calculatedColumnFormula>_xlfn.XLOOKUP(searching[[#This Row],[code]],db[code],db[name])</calculatedColumnFormula>
    </tableColumn>
    <tableColumn id="4" xr3:uid="{D4A1FAE5-2A95-4574-B58D-18B61E2D9B08}" uniqueName="4" name="price" queryTableFieldId="36" dataDxfId="11">
      <calculatedColumnFormula>_xlfn.XLOOKUP(searching[[#This Row],[code]],db[code],db[price])</calculatedColumnFormula>
    </tableColumn>
    <tableColumn id="7" xr3:uid="{18A82730-3D78-4658-B34C-EA825690B0C5}" uniqueName="7" name="comment" queryTableFieldId="39" dataDxfId="10">
      <calculatedColumnFormula>_xlfn.XLOOKUP(searching[[#This Row],[code]],db[code],db[comment])</calculatedColumnFormula>
    </tableColumn>
    <tableColumn id="23" xr3:uid="{319703B6-0E74-41AF-9AED-104899DC8671}" uniqueName="23" name="levenstein" queryTableFieldId="42" dataDxfId="9">
      <calculatedColumnFormula array="1">Levenshtein(searching[[#This Row],[search]],searching[[#This Row],[name]])</calculatedColumnFormula>
    </tableColumn>
  </tableColumns>
  <tableStyleInfo name="TableStyleMedium2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5" xr:uid="{C01FE8F3-4AE4-492E-8234-20492FD01157}" name="db" displayName="db" ref="A1:E473" tableType="queryTable" totalsRowShown="0">
  <autoFilter ref="A1:E473" xr:uid="{C01FE8F3-4AE4-492E-8234-20492FD01157}"/>
  <tableColumns count="5">
    <tableColumn id="1" xr3:uid="{C722C349-E1CB-40F5-AC0E-1389B9ED1441}" uniqueName="1" name="code" queryTableFieldId="1" dataDxfId="8"/>
    <tableColumn id="2" xr3:uid="{219F08EE-27D1-4E11-AB67-F24C77C83123}" uniqueName="2" name="name" queryTableFieldId="2" dataDxfId="7"/>
    <tableColumn id="4" xr3:uid="{4A960230-6CB5-4867-9DA9-3B56ABA5A789}" uniqueName="4" name="comment" queryTableFieldId="4" dataDxfId="6"/>
    <tableColumn id="5" xr3:uid="{F6BE753B-E355-4A17-8532-F3BE999A7A3E}" uniqueName="5" name="price" queryTableFieldId="5"/>
    <tableColumn id="6" xr3:uid="{8954721C-3D10-4560-BAA6-A30FA0248706}" uniqueName="6" name="costprice" queryTableFieldId="6"/>
  </tableColumns>
  <tableStyleInfo name="TableStyleMedium7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4" xr:uid="{8626CE92-713C-4017-98D8-8C76B8247317}" name="fromTo" displayName="fromTo" ref="A2:B12" totalsRowShown="0">
  <autoFilter ref="A2:B12" xr:uid="{8626CE92-713C-4017-98D8-8C76B8247317}"/>
  <tableColumns count="2">
    <tableColumn id="1" xr3:uid="{6D1A0899-4519-4968-8EF8-BC588CF2F725}" name="From" dataDxfId="5"/>
    <tableColumn id="2" xr3:uid="{47C0F030-0494-4AAE-88E6-61A9DF9EBF52}" name="To" dataDxfId="4"/>
  </tableColumns>
  <tableStyleInfo name="TableStyleMedium2" showFirstColumn="0" showLastColumn="0" showRowStripes="1" showColumnStripes="0"/>
</table>
</file>

<file path=xl/tables/table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FE089158-1A8A-4B6C-AF99-59EC04760B55}" name="settingsMain" displayName="settingsMain" ref="A1:B4" totalsRowShown="0" dataDxfId="3">
  <autoFilter ref="A1:B4" xr:uid="{FE089158-1A8A-4B6C-AF99-59EC04760B55}"/>
  <tableColumns count="2">
    <tableColumn id="1" xr3:uid="{3F735A4B-0D84-48DA-B8F6-7E15FBD7B420}" name="name" dataDxfId="2"/>
    <tableColumn id="2" xr3:uid="{CDF20F7E-D078-4440-81C4-5022D34F5901}" name="value" dataDxfId="1"/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omments" Target="../comments1.xml"/><Relationship Id="rId5" Type="http://schemas.openxmlformats.org/officeDocument/2006/relationships/table" Target="../tables/table1.xml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table" Target="../tables/table2.x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2.xml"/><Relationship Id="rId2" Type="http://schemas.openxmlformats.org/officeDocument/2006/relationships/vmlDrawing" Target="../drawings/vmlDrawing2.vml"/><Relationship Id="rId1" Type="http://schemas.openxmlformats.org/officeDocument/2006/relationships/drawing" Target="../drawings/drawing2.xml"/><Relationship Id="rId4" Type="http://schemas.openxmlformats.org/officeDocument/2006/relationships/table" Target="../tables/table3.xml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comments" Target="../comments2.xml"/><Relationship Id="rId2" Type="http://schemas.openxmlformats.org/officeDocument/2006/relationships/table" Target="../tables/table4.xml"/><Relationship Id="rId1" Type="http://schemas.openxmlformats.org/officeDocument/2006/relationships/vmlDrawing" Target="../drawings/vmlDrawing3.v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A629E0C-893B-4D39-A5D5-6FE99C3A8B05}">
  <sheetPr codeName="Sheet2">
    <tabColor theme="9" tint="0.59999389629810485"/>
  </sheetPr>
  <dimension ref="A1:G28"/>
  <sheetViews>
    <sheetView showGridLines="0" workbookViewId="0">
      <pane xSplit="1" topLeftCell="B1" activePane="topRight" state="frozen"/>
      <selection pane="topRight" activeCell="D4" sqref="D4"/>
    </sheetView>
  </sheetViews>
  <sheetFormatPr defaultRowHeight="14.5" x14ac:dyDescent="0.35"/>
  <cols>
    <col min="1" max="1" width="16.36328125" customWidth="1"/>
    <col min="2" max="2" width="9" style="2" bestFit="1" customWidth="1"/>
    <col min="3" max="3" width="7.7265625" style="2" bestFit="1" customWidth="1"/>
    <col min="4" max="4" width="37.81640625" customWidth="1"/>
    <col min="5" max="5" width="7.7265625" bestFit="1" customWidth="1"/>
    <col min="6" max="6" width="14.453125" customWidth="1"/>
    <col min="7" max="7" width="11.7265625" bestFit="1" customWidth="1"/>
    <col min="8" max="8" width="9.1796875" customWidth="1"/>
  </cols>
  <sheetData>
    <row r="1" spans="1:7" x14ac:dyDescent="0.35">
      <c r="B1" s="2" t="s">
        <v>10</v>
      </c>
      <c r="C1" t="s">
        <v>16</v>
      </c>
      <c r="D1" t="s">
        <v>17</v>
      </c>
      <c r="E1" t="s">
        <v>1</v>
      </c>
      <c r="F1" s="3" t="s">
        <v>0</v>
      </c>
      <c r="G1" t="s">
        <v>14</v>
      </c>
    </row>
    <row r="2" spans="1:7" x14ac:dyDescent="0.35">
      <c r="B2" s="1" t="s">
        <v>59</v>
      </c>
      <c r="C2" s="1" t="s">
        <v>590</v>
      </c>
      <c r="D2" s="1" t="str">
        <f>_xlfn.XLOOKUP(searching[[#This Row],[code]],db[code],db[name])</f>
        <v>AFP</v>
      </c>
      <c r="E2" s="1">
        <f>_xlfn.XLOOKUP(searching[[#This Row],[code]],db[code],db[price])</f>
        <v>890</v>
      </c>
      <c r="F2" s="3" t="str">
        <f>_xlfn.XLOOKUP(searching[[#This Row],[code]],db[code],db[comment])</f>
        <v>Alpha-feto-protein</v>
      </c>
      <c r="G2" s="5" cm="1">
        <f t="array" ref="G2">Levenshtein(searching[[#This Row],[search]],searching[[#This Row],[name]])</f>
        <v>3</v>
      </c>
    </row>
    <row r="3" spans="1:7" x14ac:dyDescent="0.35">
      <c r="B3" s="1" t="s">
        <v>43</v>
      </c>
      <c r="C3" s="1" t="s">
        <v>593</v>
      </c>
      <c r="D3" s="1" t="str">
        <f>_xlfn.XLOOKUP(searching[[#This Row],[code]],db[code],db[name])</f>
        <v>Albumin Creatinine Ratio (ACR)</v>
      </c>
      <c r="E3" s="1">
        <f>_xlfn.XLOOKUP(searching[[#This Row],[code]],db[code],db[price])</f>
        <v>490</v>
      </c>
      <c r="F3" s="3" t="str">
        <f>_xlfn.XLOOKUP(searching[[#This Row],[code]],db[code],db[comment])</f>
        <v>ACR</v>
      </c>
      <c r="G3" s="5" cm="1">
        <f t="array" ref="G3">Levenshtein(searching[[#This Row],[search]],searching[[#This Row],[name]])</f>
        <v>27</v>
      </c>
    </row>
    <row r="4" spans="1:7" x14ac:dyDescent="0.35">
      <c r="B4" s="1" t="s">
        <v>1039</v>
      </c>
      <c r="C4" s="1" t="s">
        <v>647</v>
      </c>
      <c r="D4" s="1" t="str">
        <f>_xlfn.XLOOKUP(searching[[#This Row],[code]],db[code],db[name])</f>
        <v>C1q</v>
      </c>
      <c r="E4" s="1">
        <f>_xlfn.XLOOKUP(searching[[#This Row],[code]],db[code],db[price])</f>
        <v>1710</v>
      </c>
      <c r="F4" s="3" t="str">
        <f>_xlfn.XLOOKUP(searching[[#This Row],[code]],db[code],db[comment])</f>
        <v/>
      </c>
      <c r="G4" s="5" cm="1">
        <f t="array" ref="G4">Levenshtein(searching[[#This Row],[search]],searching[[#This Row],[name]])</f>
        <v>1</v>
      </c>
    </row>
    <row r="14" spans="1:7" x14ac:dyDescent="0.35">
      <c r="A14" s="2"/>
      <c r="C14"/>
    </row>
    <row r="15" spans="1:7" x14ac:dyDescent="0.35">
      <c r="A15" s="2"/>
      <c r="C15"/>
    </row>
    <row r="16" spans="1:7" x14ac:dyDescent="0.35">
      <c r="A16" s="2"/>
      <c r="C16"/>
    </row>
    <row r="17" spans="1:3" x14ac:dyDescent="0.35">
      <c r="A17" s="2"/>
      <c r="C17"/>
    </row>
    <row r="18" spans="1:3" x14ac:dyDescent="0.35">
      <c r="A18" s="2"/>
      <c r="C18"/>
    </row>
    <row r="28" spans="1:3" x14ac:dyDescent="0.35">
      <c r="A28" s="2"/>
      <c r="C28"/>
    </row>
  </sheetData>
  <phoneticPr fontId="1" type="noConversion"/>
  <conditionalFormatting sqref="G1:G4">
    <cfRule type="colorScale" priority="1">
      <colorScale>
        <cfvo type="num" val="0"/>
        <cfvo type="num" val="15"/>
        <color rgb="FFFCFCFF"/>
        <color theme="7" tint="0.59999389629810485"/>
      </colorScale>
    </cfRule>
  </conditionalFormatting>
  <conditionalFormatting sqref="B2:B4">
    <cfRule type="duplicateValues" dxfId="0" priority="63"/>
  </conditionalFormatting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6" r:id="rId4" name="Button 2">
              <controlPr defaultSize="0" print="0" autoFill="0" autoPict="0" macro="[0]!updateFromTo" altText="Click this button to update the fromTo table for fuzzy matching. This tool helps with the learning process.">
                <anchor>
                  <from>
                    <xdr:col>0</xdr:col>
                    <xdr:colOff>57150</xdr:colOff>
                    <xdr:row>0</xdr:row>
                    <xdr:rowOff>69850</xdr:rowOff>
                  </from>
                  <to>
                    <xdr:col>0</xdr:col>
                    <xdr:colOff>1104900</xdr:colOff>
                    <xdr:row>2</xdr:row>
                    <xdr:rowOff>31750</xdr:rowOff>
                  </to>
                </anchor>
              </controlPr>
            </control>
          </mc:Choice>
        </mc:AlternateContent>
      </controls>
    </mc:Choice>
  </mc:AlternateContent>
  <tableParts count="1">
    <tablePart r:id="rId5"/>
  </tablePart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B01F29B-0889-42E8-84DE-AC4C10F890FE}">
  <sheetPr codeName="Sheet1">
    <tabColor theme="7" tint="0.59999389629810485"/>
  </sheetPr>
  <dimension ref="A1:E473"/>
  <sheetViews>
    <sheetView workbookViewId="0">
      <selection activeCell="A30" sqref="A30"/>
    </sheetView>
  </sheetViews>
  <sheetFormatPr defaultRowHeight="14.5" x14ac:dyDescent="0.35"/>
  <cols>
    <col min="1" max="1" width="7.7265625" bestFit="1" customWidth="1"/>
    <col min="2" max="2" width="42.7265625" customWidth="1"/>
    <col min="3" max="3" width="29.7265625" customWidth="1"/>
    <col min="4" max="4" width="7.7265625" bestFit="1" customWidth="1"/>
    <col min="5" max="5" width="11.26953125" bestFit="1" customWidth="1"/>
    <col min="6" max="6" width="11.26953125" customWidth="1"/>
  </cols>
  <sheetData>
    <row r="1" spans="1:5" x14ac:dyDescent="0.35">
      <c r="A1" t="s">
        <v>16</v>
      </c>
      <c r="B1" t="s">
        <v>17</v>
      </c>
      <c r="C1" t="s">
        <v>0</v>
      </c>
      <c r="D1" t="s">
        <v>1</v>
      </c>
      <c r="E1" t="s">
        <v>18</v>
      </c>
    </row>
    <row r="2" spans="1:5" x14ac:dyDescent="0.35">
      <c r="A2" s="1" t="s">
        <v>577</v>
      </c>
      <c r="B2" s="1" t="s">
        <v>21</v>
      </c>
      <c r="C2" s="1" t="s">
        <v>2</v>
      </c>
      <c r="D2">
        <v>1190</v>
      </c>
      <c r="E2">
        <v>595</v>
      </c>
    </row>
    <row r="3" spans="1:5" x14ac:dyDescent="0.35">
      <c r="A3" s="1" t="s">
        <v>578</v>
      </c>
      <c r="B3" s="1" t="s">
        <v>22</v>
      </c>
      <c r="C3" s="1" t="s">
        <v>2</v>
      </c>
      <c r="D3">
        <v>1620</v>
      </c>
      <c r="E3">
        <v>972</v>
      </c>
    </row>
    <row r="4" spans="1:5" x14ac:dyDescent="0.35">
      <c r="A4" s="1" t="s">
        <v>579</v>
      </c>
      <c r="B4" s="1" t="s">
        <v>23</v>
      </c>
      <c r="C4" s="1" t="s">
        <v>2</v>
      </c>
      <c r="D4">
        <v>370</v>
      </c>
      <c r="E4">
        <v>148</v>
      </c>
    </row>
    <row r="5" spans="1:5" x14ac:dyDescent="0.35">
      <c r="A5" s="1" t="s">
        <v>580</v>
      </c>
      <c r="B5" s="1" t="s">
        <v>24</v>
      </c>
      <c r="C5" s="1" t="s">
        <v>2</v>
      </c>
      <c r="D5">
        <v>1800</v>
      </c>
      <c r="E5">
        <v>720</v>
      </c>
    </row>
    <row r="6" spans="1:5" x14ac:dyDescent="0.35">
      <c r="A6" s="1" t="s">
        <v>581</v>
      </c>
      <c r="B6" s="1" t="s">
        <v>25</v>
      </c>
      <c r="C6" s="1" t="s">
        <v>26</v>
      </c>
      <c r="D6">
        <v>1950</v>
      </c>
      <c r="E6">
        <v>1365</v>
      </c>
    </row>
    <row r="7" spans="1:5" x14ac:dyDescent="0.35">
      <c r="A7" s="1" t="s">
        <v>582</v>
      </c>
      <c r="B7" s="1" t="s">
        <v>27</v>
      </c>
      <c r="C7" s="1" t="s">
        <v>2</v>
      </c>
      <c r="D7">
        <v>1900</v>
      </c>
      <c r="E7">
        <v>760</v>
      </c>
    </row>
    <row r="8" spans="1:5" x14ac:dyDescent="0.35">
      <c r="A8" s="1" t="s">
        <v>583</v>
      </c>
      <c r="B8" s="1" t="s">
        <v>28</v>
      </c>
      <c r="C8" s="1" t="s">
        <v>2</v>
      </c>
      <c r="D8">
        <v>870</v>
      </c>
      <c r="E8">
        <v>435</v>
      </c>
    </row>
    <row r="9" spans="1:5" x14ac:dyDescent="0.35">
      <c r="A9" s="1" t="s">
        <v>584</v>
      </c>
      <c r="B9" s="1" t="s">
        <v>29</v>
      </c>
      <c r="C9" s="1" t="s">
        <v>2</v>
      </c>
      <c r="D9">
        <v>1300</v>
      </c>
      <c r="E9">
        <v>910</v>
      </c>
    </row>
    <row r="10" spans="1:5" x14ac:dyDescent="0.35">
      <c r="A10" s="1" t="s">
        <v>585</v>
      </c>
      <c r="B10" s="1" t="s">
        <v>30</v>
      </c>
      <c r="C10" s="1" t="s">
        <v>31</v>
      </c>
      <c r="D10">
        <v>1030</v>
      </c>
      <c r="E10">
        <v>618</v>
      </c>
    </row>
    <row r="11" spans="1:5" x14ac:dyDescent="0.35">
      <c r="A11" s="1" t="s">
        <v>586</v>
      </c>
      <c r="B11" s="1" t="s">
        <v>32</v>
      </c>
      <c r="C11" s="1" t="s">
        <v>33</v>
      </c>
      <c r="D11">
        <v>1770</v>
      </c>
      <c r="E11">
        <v>1062</v>
      </c>
    </row>
    <row r="12" spans="1:5" x14ac:dyDescent="0.35">
      <c r="A12" s="1" t="s">
        <v>587</v>
      </c>
      <c r="B12" s="1" t="s">
        <v>34</v>
      </c>
      <c r="C12" s="1" t="s">
        <v>2</v>
      </c>
      <c r="D12">
        <v>1800</v>
      </c>
      <c r="E12">
        <v>720</v>
      </c>
    </row>
    <row r="13" spans="1:5" x14ac:dyDescent="0.35">
      <c r="A13" s="1" t="s">
        <v>588</v>
      </c>
      <c r="B13" s="1" t="s">
        <v>35</v>
      </c>
      <c r="C13" s="1" t="s">
        <v>2</v>
      </c>
      <c r="D13">
        <v>1590</v>
      </c>
      <c r="E13">
        <v>795</v>
      </c>
    </row>
    <row r="14" spans="1:5" x14ac:dyDescent="0.35">
      <c r="A14" s="1" t="s">
        <v>589</v>
      </c>
      <c r="B14" s="1" t="s">
        <v>36</v>
      </c>
      <c r="C14" s="1" t="s">
        <v>2</v>
      </c>
      <c r="D14">
        <v>150</v>
      </c>
      <c r="E14">
        <v>75</v>
      </c>
    </row>
    <row r="15" spans="1:5" x14ac:dyDescent="0.35">
      <c r="A15" s="1" t="s">
        <v>590</v>
      </c>
      <c r="B15" s="1" t="s">
        <v>37</v>
      </c>
      <c r="C15" s="1" t="s">
        <v>38</v>
      </c>
      <c r="D15">
        <v>890</v>
      </c>
      <c r="E15">
        <v>445</v>
      </c>
    </row>
    <row r="16" spans="1:5" x14ac:dyDescent="0.35">
      <c r="A16" s="1" t="s">
        <v>591</v>
      </c>
      <c r="B16" s="1" t="s">
        <v>39</v>
      </c>
      <c r="C16" s="1" t="s">
        <v>40</v>
      </c>
      <c r="D16">
        <v>1400</v>
      </c>
      <c r="E16">
        <v>980</v>
      </c>
    </row>
    <row r="17" spans="1:5" x14ac:dyDescent="0.35">
      <c r="A17" s="1" t="s">
        <v>592</v>
      </c>
      <c r="B17" s="1" t="s">
        <v>41</v>
      </c>
      <c r="C17" s="1" t="s">
        <v>2</v>
      </c>
      <c r="D17">
        <v>290</v>
      </c>
      <c r="E17">
        <v>116</v>
      </c>
    </row>
    <row r="18" spans="1:5" x14ac:dyDescent="0.35">
      <c r="A18" s="1" t="s">
        <v>593</v>
      </c>
      <c r="B18" s="1" t="s">
        <v>42</v>
      </c>
      <c r="C18" s="1" t="s">
        <v>43</v>
      </c>
      <c r="D18">
        <v>490</v>
      </c>
      <c r="E18">
        <v>196</v>
      </c>
    </row>
    <row r="19" spans="1:5" x14ac:dyDescent="0.35">
      <c r="A19" s="1" t="s">
        <v>594</v>
      </c>
      <c r="B19" s="1" t="s">
        <v>44</v>
      </c>
      <c r="C19" s="1" t="s">
        <v>2</v>
      </c>
      <c r="D19">
        <v>190</v>
      </c>
      <c r="E19">
        <v>95</v>
      </c>
    </row>
    <row r="20" spans="1:5" x14ac:dyDescent="0.35">
      <c r="A20" s="1" t="s">
        <v>595</v>
      </c>
      <c r="B20" s="1" t="s">
        <v>45</v>
      </c>
      <c r="C20" s="1" t="s">
        <v>2</v>
      </c>
      <c r="D20">
        <v>750</v>
      </c>
      <c r="E20">
        <v>225</v>
      </c>
    </row>
    <row r="21" spans="1:5" x14ac:dyDescent="0.35">
      <c r="A21" s="1" t="s">
        <v>596</v>
      </c>
      <c r="B21" s="1" t="s">
        <v>46</v>
      </c>
      <c r="C21" s="1" t="s">
        <v>47</v>
      </c>
      <c r="D21">
        <v>140</v>
      </c>
      <c r="E21">
        <v>56</v>
      </c>
    </row>
    <row r="22" spans="1:5" x14ac:dyDescent="0.35">
      <c r="A22" s="1" t="s">
        <v>597</v>
      </c>
      <c r="B22" s="1" t="s">
        <v>48</v>
      </c>
      <c r="C22" s="1" t="s">
        <v>2</v>
      </c>
      <c r="D22">
        <v>110</v>
      </c>
      <c r="E22">
        <v>44</v>
      </c>
    </row>
    <row r="23" spans="1:5" x14ac:dyDescent="0.35">
      <c r="A23" s="1" t="s">
        <v>598</v>
      </c>
      <c r="B23" s="1" t="s">
        <v>49</v>
      </c>
      <c r="C23" s="1" t="s">
        <v>2</v>
      </c>
      <c r="D23">
        <v>1300</v>
      </c>
      <c r="E23">
        <v>650</v>
      </c>
    </row>
    <row r="24" spans="1:5" x14ac:dyDescent="0.35">
      <c r="A24" s="1" t="s">
        <v>599</v>
      </c>
      <c r="B24" s="1" t="s">
        <v>50</v>
      </c>
      <c r="C24" s="1" t="s">
        <v>51</v>
      </c>
      <c r="D24">
        <v>810</v>
      </c>
      <c r="E24">
        <v>243</v>
      </c>
    </row>
    <row r="25" spans="1:5" x14ac:dyDescent="0.35">
      <c r="A25" s="1" t="s">
        <v>570</v>
      </c>
      <c r="B25" s="1" t="s">
        <v>52</v>
      </c>
      <c r="C25" s="1" t="s">
        <v>2</v>
      </c>
      <c r="D25">
        <v>1740</v>
      </c>
      <c r="E25">
        <v>696</v>
      </c>
    </row>
    <row r="26" spans="1:5" x14ac:dyDescent="0.35">
      <c r="A26" s="1" t="s">
        <v>600</v>
      </c>
      <c r="B26" s="1" t="s">
        <v>53</v>
      </c>
      <c r="C26" s="1" t="s">
        <v>2</v>
      </c>
      <c r="D26">
        <v>1170</v>
      </c>
      <c r="E26">
        <v>702</v>
      </c>
    </row>
    <row r="27" spans="1:5" x14ac:dyDescent="0.35">
      <c r="A27" s="1" t="s">
        <v>569</v>
      </c>
      <c r="B27" s="1" t="s">
        <v>54</v>
      </c>
      <c r="C27" s="1" t="s">
        <v>2</v>
      </c>
      <c r="D27">
        <v>400</v>
      </c>
      <c r="E27">
        <v>160</v>
      </c>
    </row>
    <row r="28" spans="1:5" x14ac:dyDescent="0.35">
      <c r="A28" s="1" t="s">
        <v>601</v>
      </c>
      <c r="B28" s="1" t="s">
        <v>55</v>
      </c>
      <c r="C28" s="1" t="s">
        <v>2</v>
      </c>
      <c r="D28">
        <v>1280</v>
      </c>
      <c r="E28">
        <v>640</v>
      </c>
    </row>
    <row r="29" spans="1:5" x14ac:dyDescent="0.35">
      <c r="A29" s="1" t="s">
        <v>602</v>
      </c>
      <c r="B29" s="1" t="s">
        <v>56</v>
      </c>
      <c r="C29" s="1" t="s">
        <v>2</v>
      </c>
      <c r="D29">
        <v>110</v>
      </c>
      <c r="E29">
        <v>77</v>
      </c>
    </row>
    <row r="30" spans="1:5" x14ac:dyDescent="0.35">
      <c r="A30" s="1" t="s">
        <v>603</v>
      </c>
      <c r="B30" s="1" t="s">
        <v>57</v>
      </c>
      <c r="C30" s="1" t="s">
        <v>2</v>
      </c>
      <c r="D30">
        <v>1110</v>
      </c>
      <c r="E30">
        <v>555</v>
      </c>
    </row>
    <row r="31" spans="1:5" x14ac:dyDescent="0.35">
      <c r="A31" s="1" t="s">
        <v>604</v>
      </c>
      <c r="B31" s="1" t="s">
        <v>58</v>
      </c>
      <c r="C31" s="1" t="s">
        <v>59</v>
      </c>
      <c r="D31">
        <v>300</v>
      </c>
      <c r="E31">
        <v>120</v>
      </c>
    </row>
    <row r="32" spans="1:5" x14ac:dyDescent="0.35">
      <c r="A32" s="1" t="s">
        <v>605</v>
      </c>
      <c r="B32" s="1" t="s">
        <v>60</v>
      </c>
      <c r="C32" s="1" t="s">
        <v>2</v>
      </c>
      <c r="D32">
        <v>1550</v>
      </c>
      <c r="E32">
        <v>930</v>
      </c>
    </row>
    <row r="33" spans="1:5" x14ac:dyDescent="0.35">
      <c r="A33" s="1" t="s">
        <v>606</v>
      </c>
      <c r="B33" s="1" t="s">
        <v>61</v>
      </c>
      <c r="C33" s="1" t="s">
        <v>62</v>
      </c>
      <c r="D33">
        <v>420</v>
      </c>
      <c r="E33">
        <v>210</v>
      </c>
    </row>
    <row r="34" spans="1:5" x14ac:dyDescent="0.35">
      <c r="A34" s="1" t="s">
        <v>607</v>
      </c>
      <c r="B34" s="1" t="s">
        <v>63</v>
      </c>
      <c r="C34" s="1" t="s">
        <v>2</v>
      </c>
      <c r="D34">
        <v>520</v>
      </c>
      <c r="E34">
        <v>364</v>
      </c>
    </row>
    <row r="35" spans="1:5" x14ac:dyDescent="0.35">
      <c r="A35" s="1" t="s">
        <v>608</v>
      </c>
      <c r="B35" s="1" t="s">
        <v>64</v>
      </c>
      <c r="C35" s="1" t="s">
        <v>2</v>
      </c>
      <c r="D35">
        <v>1720</v>
      </c>
      <c r="E35">
        <v>688</v>
      </c>
    </row>
    <row r="36" spans="1:5" x14ac:dyDescent="0.35">
      <c r="A36" s="1" t="s">
        <v>609</v>
      </c>
      <c r="B36" s="1" t="s">
        <v>65</v>
      </c>
      <c r="C36" s="1" t="s">
        <v>66</v>
      </c>
      <c r="D36">
        <v>700</v>
      </c>
      <c r="E36">
        <v>280</v>
      </c>
    </row>
    <row r="37" spans="1:5" x14ac:dyDescent="0.35">
      <c r="A37" s="1" t="s">
        <v>610</v>
      </c>
      <c r="B37" s="1" t="s">
        <v>67</v>
      </c>
      <c r="C37" s="1" t="s">
        <v>2</v>
      </c>
      <c r="D37">
        <v>1860</v>
      </c>
      <c r="E37">
        <v>744</v>
      </c>
    </row>
    <row r="38" spans="1:5" x14ac:dyDescent="0.35">
      <c r="A38" s="1" t="s">
        <v>611</v>
      </c>
      <c r="B38" s="1" t="s">
        <v>68</v>
      </c>
      <c r="C38" s="1" t="s">
        <v>69</v>
      </c>
      <c r="D38">
        <v>110</v>
      </c>
      <c r="E38">
        <v>66</v>
      </c>
    </row>
    <row r="39" spans="1:5" x14ac:dyDescent="0.35">
      <c r="A39" s="1" t="s">
        <v>612</v>
      </c>
      <c r="B39" s="1" t="s">
        <v>70</v>
      </c>
      <c r="C39" s="1" t="s">
        <v>71</v>
      </c>
      <c r="D39">
        <v>960</v>
      </c>
      <c r="E39">
        <v>288</v>
      </c>
    </row>
    <row r="40" spans="1:5" x14ac:dyDescent="0.35">
      <c r="A40" s="1" t="s">
        <v>613</v>
      </c>
      <c r="B40" s="1" t="s">
        <v>72</v>
      </c>
      <c r="C40" s="1" t="s">
        <v>2</v>
      </c>
      <c r="D40">
        <v>100</v>
      </c>
      <c r="E40">
        <v>30</v>
      </c>
    </row>
    <row r="41" spans="1:5" x14ac:dyDescent="0.35">
      <c r="A41" s="1" t="s">
        <v>614</v>
      </c>
      <c r="B41" s="1" t="s">
        <v>73</v>
      </c>
      <c r="C41" s="1" t="s">
        <v>2</v>
      </c>
      <c r="D41">
        <v>590</v>
      </c>
      <c r="E41">
        <v>236</v>
      </c>
    </row>
    <row r="42" spans="1:5" x14ac:dyDescent="0.35">
      <c r="A42" s="1" t="s">
        <v>567</v>
      </c>
      <c r="B42" s="1" t="s">
        <v>74</v>
      </c>
      <c r="C42" s="1" t="s">
        <v>2</v>
      </c>
      <c r="D42">
        <v>140</v>
      </c>
      <c r="E42">
        <v>70</v>
      </c>
    </row>
    <row r="43" spans="1:5" x14ac:dyDescent="0.35">
      <c r="A43" s="1" t="s">
        <v>615</v>
      </c>
      <c r="B43" s="1" t="s">
        <v>75</v>
      </c>
      <c r="C43" s="1" t="s">
        <v>2</v>
      </c>
      <c r="D43">
        <v>100</v>
      </c>
      <c r="E43">
        <v>60</v>
      </c>
    </row>
    <row r="44" spans="1:5" x14ac:dyDescent="0.35">
      <c r="A44" s="1" t="s">
        <v>568</v>
      </c>
      <c r="B44" s="1" t="s">
        <v>76</v>
      </c>
      <c r="C44" s="1" t="s">
        <v>2</v>
      </c>
      <c r="D44">
        <v>1930</v>
      </c>
      <c r="E44">
        <v>579</v>
      </c>
    </row>
    <row r="45" spans="1:5" x14ac:dyDescent="0.35">
      <c r="A45" s="1" t="s">
        <v>616</v>
      </c>
      <c r="B45" s="1" t="s">
        <v>77</v>
      </c>
      <c r="C45" s="1" t="s">
        <v>78</v>
      </c>
      <c r="D45">
        <v>1590</v>
      </c>
      <c r="E45">
        <v>795</v>
      </c>
    </row>
    <row r="46" spans="1:5" x14ac:dyDescent="0.35">
      <c r="A46" s="1" t="s">
        <v>576</v>
      </c>
      <c r="B46" s="1" t="s">
        <v>79</v>
      </c>
      <c r="C46" s="1" t="s">
        <v>2</v>
      </c>
      <c r="D46">
        <v>490</v>
      </c>
      <c r="E46">
        <v>147</v>
      </c>
    </row>
    <row r="47" spans="1:5" x14ac:dyDescent="0.35">
      <c r="A47" s="1" t="s">
        <v>617</v>
      </c>
      <c r="B47" s="1" t="s">
        <v>80</v>
      </c>
      <c r="C47" s="1" t="s">
        <v>81</v>
      </c>
      <c r="D47">
        <v>640</v>
      </c>
      <c r="E47">
        <v>192</v>
      </c>
    </row>
    <row r="48" spans="1:5" x14ac:dyDescent="0.35">
      <c r="A48" s="1" t="s">
        <v>618</v>
      </c>
      <c r="B48" s="1" t="s">
        <v>82</v>
      </c>
      <c r="C48" s="1" t="s">
        <v>2</v>
      </c>
      <c r="D48">
        <v>1460</v>
      </c>
      <c r="E48">
        <v>1022</v>
      </c>
    </row>
    <row r="49" spans="1:5" x14ac:dyDescent="0.35">
      <c r="A49" s="1" t="s">
        <v>619</v>
      </c>
      <c r="B49" s="1" t="s">
        <v>83</v>
      </c>
      <c r="C49" s="1" t="s">
        <v>2</v>
      </c>
      <c r="D49">
        <v>150</v>
      </c>
      <c r="E49">
        <v>105</v>
      </c>
    </row>
    <row r="50" spans="1:5" x14ac:dyDescent="0.35">
      <c r="A50" s="1" t="s">
        <v>620</v>
      </c>
      <c r="B50" s="1" t="s">
        <v>84</v>
      </c>
      <c r="C50" s="1" t="s">
        <v>2</v>
      </c>
      <c r="D50">
        <v>1900</v>
      </c>
      <c r="E50">
        <v>1140</v>
      </c>
    </row>
    <row r="51" spans="1:5" x14ac:dyDescent="0.35">
      <c r="A51" s="1" t="s">
        <v>621</v>
      </c>
      <c r="B51" s="1" t="s">
        <v>85</v>
      </c>
      <c r="C51" s="1" t="s">
        <v>2</v>
      </c>
      <c r="D51">
        <v>490</v>
      </c>
      <c r="E51">
        <v>343</v>
      </c>
    </row>
    <row r="52" spans="1:5" x14ac:dyDescent="0.35">
      <c r="A52" s="1" t="s">
        <v>622</v>
      </c>
      <c r="B52" s="1" t="s">
        <v>86</v>
      </c>
      <c r="C52" s="1" t="s">
        <v>2</v>
      </c>
      <c r="D52">
        <v>650</v>
      </c>
      <c r="E52">
        <v>260</v>
      </c>
    </row>
    <row r="53" spans="1:5" x14ac:dyDescent="0.35">
      <c r="A53" s="1" t="s">
        <v>623</v>
      </c>
      <c r="B53" s="1" t="s">
        <v>87</v>
      </c>
      <c r="C53" s="1" t="s">
        <v>2</v>
      </c>
      <c r="D53">
        <v>330</v>
      </c>
      <c r="E53">
        <v>165</v>
      </c>
    </row>
    <row r="54" spans="1:5" x14ac:dyDescent="0.35">
      <c r="A54" s="1" t="s">
        <v>624</v>
      </c>
      <c r="B54" s="1" t="s">
        <v>88</v>
      </c>
      <c r="C54" s="1" t="s">
        <v>2</v>
      </c>
      <c r="D54">
        <v>680</v>
      </c>
      <c r="E54">
        <v>408</v>
      </c>
    </row>
    <row r="55" spans="1:5" x14ac:dyDescent="0.35">
      <c r="A55" s="1" t="s">
        <v>625</v>
      </c>
      <c r="B55" s="1" t="s">
        <v>89</v>
      </c>
      <c r="C55" s="1" t="s">
        <v>2</v>
      </c>
      <c r="D55">
        <v>1030</v>
      </c>
      <c r="E55">
        <v>618</v>
      </c>
    </row>
    <row r="56" spans="1:5" x14ac:dyDescent="0.35">
      <c r="A56" s="1" t="s">
        <v>626</v>
      </c>
      <c r="B56" s="1" t="s">
        <v>90</v>
      </c>
      <c r="C56" s="1" t="s">
        <v>2</v>
      </c>
      <c r="D56">
        <v>480</v>
      </c>
      <c r="E56">
        <v>144</v>
      </c>
    </row>
    <row r="57" spans="1:5" x14ac:dyDescent="0.35">
      <c r="A57" s="1" t="s">
        <v>627</v>
      </c>
      <c r="B57" s="1" t="s">
        <v>91</v>
      </c>
      <c r="C57" s="1" t="s">
        <v>2</v>
      </c>
      <c r="D57">
        <v>1100</v>
      </c>
      <c r="E57">
        <v>440</v>
      </c>
    </row>
    <row r="58" spans="1:5" x14ac:dyDescent="0.35">
      <c r="A58" s="1" t="s">
        <v>628</v>
      </c>
      <c r="B58" s="1" t="s">
        <v>92</v>
      </c>
      <c r="C58" s="1" t="s">
        <v>2</v>
      </c>
      <c r="D58">
        <v>1030</v>
      </c>
      <c r="E58">
        <v>515</v>
      </c>
    </row>
    <row r="59" spans="1:5" x14ac:dyDescent="0.35">
      <c r="A59" s="1" t="s">
        <v>629</v>
      </c>
      <c r="B59" s="1" t="s">
        <v>93</v>
      </c>
      <c r="C59" s="1" t="s">
        <v>2</v>
      </c>
      <c r="D59">
        <v>960</v>
      </c>
      <c r="E59">
        <v>288</v>
      </c>
    </row>
    <row r="60" spans="1:5" x14ac:dyDescent="0.35">
      <c r="A60" s="1" t="s">
        <v>630</v>
      </c>
      <c r="B60" s="1" t="s">
        <v>94</v>
      </c>
      <c r="C60" s="1" t="s">
        <v>95</v>
      </c>
      <c r="D60">
        <v>880</v>
      </c>
      <c r="E60">
        <v>440</v>
      </c>
    </row>
    <row r="61" spans="1:5" x14ac:dyDescent="0.35">
      <c r="A61" s="1" t="s">
        <v>631</v>
      </c>
      <c r="B61" s="1" t="s">
        <v>96</v>
      </c>
      <c r="C61" s="1" t="s">
        <v>2</v>
      </c>
      <c r="D61">
        <v>1530</v>
      </c>
      <c r="E61">
        <v>918</v>
      </c>
    </row>
    <row r="62" spans="1:5" x14ac:dyDescent="0.35">
      <c r="A62" s="1" t="s">
        <v>632</v>
      </c>
      <c r="B62" s="1" t="s">
        <v>97</v>
      </c>
      <c r="C62" s="1" t="s">
        <v>2</v>
      </c>
      <c r="D62">
        <v>670</v>
      </c>
      <c r="E62">
        <v>335</v>
      </c>
    </row>
    <row r="63" spans="1:5" x14ac:dyDescent="0.35">
      <c r="A63" s="1" t="s">
        <v>633</v>
      </c>
      <c r="B63" s="1" t="s">
        <v>98</v>
      </c>
      <c r="C63" s="1" t="s">
        <v>2</v>
      </c>
      <c r="D63">
        <v>540</v>
      </c>
      <c r="E63">
        <v>216</v>
      </c>
    </row>
    <row r="64" spans="1:5" x14ac:dyDescent="0.35">
      <c r="A64" s="1" t="s">
        <v>571</v>
      </c>
      <c r="B64" s="1" t="s">
        <v>99</v>
      </c>
      <c r="C64" s="1" t="s">
        <v>2</v>
      </c>
      <c r="D64">
        <v>410</v>
      </c>
      <c r="E64">
        <v>287</v>
      </c>
    </row>
    <row r="65" spans="1:5" x14ac:dyDescent="0.35">
      <c r="A65" s="1" t="s">
        <v>573</v>
      </c>
      <c r="B65" s="1" t="s">
        <v>100</v>
      </c>
      <c r="C65" s="1" t="s">
        <v>2</v>
      </c>
      <c r="D65">
        <v>550</v>
      </c>
      <c r="E65">
        <v>330</v>
      </c>
    </row>
    <row r="66" spans="1:5" x14ac:dyDescent="0.35">
      <c r="A66" s="1" t="s">
        <v>574</v>
      </c>
      <c r="B66" s="1" t="s">
        <v>101</v>
      </c>
      <c r="C66" s="1" t="s">
        <v>2</v>
      </c>
      <c r="D66">
        <v>650</v>
      </c>
      <c r="E66">
        <v>260</v>
      </c>
    </row>
    <row r="67" spans="1:5" x14ac:dyDescent="0.35">
      <c r="A67" s="1" t="s">
        <v>634</v>
      </c>
      <c r="B67" s="1" t="s">
        <v>102</v>
      </c>
      <c r="C67" s="1" t="s">
        <v>103</v>
      </c>
      <c r="D67">
        <v>440</v>
      </c>
      <c r="E67">
        <v>132</v>
      </c>
    </row>
    <row r="68" spans="1:5" x14ac:dyDescent="0.35">
      <c r="A68" s="1" t="s">
        <v>635</v>
      </c>
      <c r="B68" s="1" t="s">
        <v>104</v>
      </c>
      <c r="C68" s="1" t="s">
        <v>2</v>
      </c>
      <c r="D68">
        <v>1310</v>
      </c>
      <c r="E68">
        <v>786</v>
      </c>
    </row>
    <row r="69" spans="1:5" x14ac:dyDescent="0.35">
      <c r="A69" s="1" t="s">
        <v>636</v>
      </c>
      <c r="B69" s="1" t="s">
        <v>105</v>
      </c>
      <c r="C69" s="1" t="s">
        <v>2</v>
      </c>
      <c r="D69">
        <v>280</v>
      </c>
      <c r="E69">
        <v>140</v>
      </c>
    </row>
    <row r="70" spans="1:5" x14ac:dyDescent="0.35">
      <c r="A70" s="1" t="s">
        <v>637</v>
      </c>
      <c r="B70" s="1" t="s">
        <v>106</v>
      </c>
      <c r="C70" s="1" t="s">
        <v>2</v>
      </c>
      <c r="D70">
        <v>1980</v>
      </c>
      <c r="E70">
        <v>594</v>
      </c>
    </row>
    <row r="71" spans="1:5" x14ac:dyDescent="0.35">
      <c r="A71" s="1" t="s">
        <v>638</v>
      </c>
      <c r="B71" s="1" t="s">
        <v>107</v>
      </c>
      <c r="C71" s="1" t="s">
        <v>108</v>
      </c>
      <c r="D71">
        <v>1290</v>
      </c>
      <c r="E71">
        <v>387</v>
      </c>
    </row>
    <row r="72" spans="1:5" x14ac:dyDescent="0.35">
      <c r="A72" s="1" t="s">
        <v>639</v>
      </c>
      <c r="B72" s="1" t="s">
        <v>109</v>
      </c>
      <c r="C72" s="1" t="s">
        <v>2</v>
      </c>
      <c r="D72">
        <v>550</v>
      </c>
      <c r="E72">
        <v>330</v>
      </c>
    </row>
    <row r="73" spans="1:5" x14ac:dyDescent="0.35">
      <c r="A73" s="1" t="s">
        <v>640</v>
      </c>
      <c r="B73" s="1" t="s">
        <v>110</v>
      </c>
      <c r="C73" s="1" t="s">
        <v>2</v>
      </c>
      <c r="D73">
        <v>1320</v>
      </c>
      <c r="E73">
        <v>660</v>
      </c>
    </row>
    <row r="74" spans="1:5" x14ac:dyDescent="0.35">
      <c r="A74" s="1" t="s">
        <v>641</v>
      </c>
      <c r="B74" s="1" t="s">
        <v>111</v>
      </c>
      <c r="C74" s="1" t="s">
        <v>2</v>
      </c>
      <c r="D74">
        <v>1050</v>
      </c>
      <c r="E74">
        <v>420</v>
      </c>
    </row>
    <row r="75" spans="1:5" x14ac:dyDescent="0.35">
      <c r="A75" s="1" t="s">
        <v>642</v>
      </c>
      <c r="B75" s="1" t="s">
        <v>112</v>
      </c>
      <c r="C75" s="1" t="s">
        <v>2</v>
      </c>
      <c r="D75">
        <v>1510</v>
      </c>
      <c r="E75">
        <v>906</v>
      </c>
    </row>
    <row r="76" spans="1:5" x14ac:dyDescent="0.35">
      <c r="A76" s="1" t="s">
        <v>643</v>
      </c>
      <c r="B76" s="1" t="s">
        <v>113</v>
      </c>
      <c r="C76" s="1" t="s">
        <v>2</v>
      </c>
      <c r="D76">
        <v>1740</v>
      </c>
      <c r="E76">
        <v>522</v>
      </c>
    </row>
    <row r="77" spans="1:5" x14ac:dyDescent="0.35">
      <c r="A77" s="1" t="s">
        <v>644</v>
      </c>
      <c r="B77" s="1" t="s">
        <v>114</v>
      </c>
      <c r="C77" s="1" t="s">
        <v>2</v>
      </c>
      <c r="D77">
        <v>1050</v>
      </c>
      <c r="E77">
        <v>525</v>
      </c>
    </row>
    <row r="78" spans="1:5" x14ac:dyDescent="0.35">
      <c r="A78" s="1" t="s">
        <v>645</v>
      </c>
      <c r="B78" s="1" t="s">
        <v>115</v>
      </c>
      <c r="C78" s="1" t="s">
        <v>2</v>
      </c>
      <c r="D78">
        <v>1560</v>
      </c>
      <c r="E78">
        <v>624</v>
      </c>
    </row>
    <row r="79" spans="1:5" x14ac:dyDescent="0.35">
      <c r="A79" s="1" t="s">
        <v>646</v>
      </c>
      <c r="B79" s="1" t="s">
        <v>116</v>
      </c>
      <c r="C79" s="1" t="s">
        <v>2</v>
      </c>
      <c r="D79">
        <v>930</v>
      </c>
      <c r="E79">
        <v>651</v>
      </c>
    </row>
    <row r="80" spans="1:5" x14ac:dyDescent="0.35">
      <c r="A80" s="1" t="s">
        <v>647</v>
      </c>
      <c r="B80" s="1" t="s">
        <v>117</v>
      </c>
      <c r="C80" s="1" t="s">
        <v>2</v>
      </c>
      <c r="D80">
        <v>1710</v>
      </c>
      <c r="E80">
        <v>1197</v>
      </c>
    </row>
    <row r="81" spans="1:5" x14ac:dyDescent="0.35">
      <c r="A81" s="1" t="s">
        <v>648</v>
      </c>
      <c r="B81" s="1" t="s">
        <v>118</v>
      </c>
      <c r="C81" s="1" t="s">
        <v>2</v>
      </c>
      <c r="D81">
        <v>480</v>
      </c>
      <c r="E81">
        <v>192</v>
      </c>
    </row>
    <row r="82" spans="1:5" x14ac:dyDescent="0.35">
      <c r="A82" s="1" t="s">
        <v>649</v>
      </c>
      <c r="B82" s="1" t="s">
        <v>119</v>
      </c>
      <c r="C82" s="1" t="s">
        <v>2</v>
      </c>
      <c r="D82">
        <v>1040</v>
      </c>
      <c r="E82">
        <v>520</v>
      </c>
    </row>
    <row r="83" spans="1:5" x14ac:dyDescent="0.35">
      <c r="A83" s="1" t="s">
        <v>650</v>
      </c>
      <c r="B83" s="1" t="s">
        <v>120</v>
      </c>
      <c r="C83" s="1" t="s">
        <v>2</v>
      </c>
      <c r="D83">
        <v>970</v>
      </c>
      <c r="E83">
        <v>582</v>
      </c>
    </row>
    <row r="84" spans="1:5" x14ac:dyDescent="0.35">
      <c r="A84" s="1" t="s">
        <v>651</v>
      </c>
      <c r="B84" s="1" t="s">
        <v>121</v>
      </c>
      <c r="C84" s="1" t="s">
        <v>2</v>
      </c>
      <c r="D84">
        <v>1390</v>
      </c>
      <c r="E84">
        <v>973</v>
      </c>
    </row>
    <row r="85" spans="1:5" x14ac:dyDescent="0.35">
      <c r="A85" s="1" t="s">
        <v>652</v>
      </c>
      <c r="B85" s="1" t="s">
        <v>122</v>
      </c>
      <c r="C85" s="1" t="s">
        <v>2</v>
      </c>
      <c r="D85">
        <v>300</v>
      </c>
      <c r="E85">
        <v>150</v>
      </c>
    </row>
    <row r="86" spans="1:5" x14ac:dyDescent="0.35">
      <c r="A86" s="1" t="s">
        <v>653</v>
      </c>
      <c r="B86" s="1" t="s">
        <v>123</v>
      </c>
      <c r="C86" s="1" t="s">
        <v>2</v>
      </c>
      <c r="D86">
        <v>280</v>
      </c>
      <c r="E86">
        <v>84</v>
      </c>
    </row>
    <row r="87" spans="1:5" x14ac:dyDescent="0.35">
      <c r="A87" s="1" t="s">
        <v>654</v>
      </c>
      <c r="B87" s="1" t="s">
        <v>124</v>
      </c>
      <c r="C87" s="1" t="s">
        <v>2</v>
      </c>
      <c r="D87">
        <v>1850</v>
      </c>
      <c r="E87">
        <v>555</v>
      </c>
    </row>
    <row r="88" spans="1:5" x14ac:dyDescent="0.35">
      <c r="A88" s="1" t="s">
        <v>655</v>
      </c>
      <c r="B88" s="1" t="s">
        <v>125</v>
      </c>
      <c r="C88" s="1" t="s">
        <v>2</v>
      </c>
      <c r="D88">
        <v>1020</v>
      </c>
      <c r="E88">
        <v>612</v>
      </c>
    </row>
    <row r="89" spans="1:5" x14ac:dyDescent="0.35">
      <c r="A89" s="1" t="s">
        <v>656</v>
      </c>
      <c r="B89" s="1" t="s">
        <v>126</v>
      </c>
      <c r="C89" s="1" t="s">
        <v>127</v>
      </c>
      <c r="D89">
        <v>1980</v>
      </c>
      <c r="E89">
        <v>594</v>
      </c>
    </row>
    <row r="90" spans="1:5" x14ac:dyDescent="0.35">
      <c r="A90" s="1" t="s">
        <v>657</v>
      </c>
      <c r="B90" s="1" t="s">
        <v>128</v>
      </c>
      <c r="C90" s="1" t="s">
        <v>2</v>
      </c>
      <c r="D90">
        <v>790</v>
      </c>
      <c r="E90">
        <v>316</v>
      </c>
    </row>
    <row r="91" spans="1:5" x14ac:dyDescent="0.35">
      <c r="A91" s="1" t="s">
        <v>658</v>
      </c>
      <c r="B91" s="1" t="s">
        <v>129</v>
      </c>
      <c r="C91" s="1" t="s">
        <v>2</v>
      </c>
      <c r="D91">
        <v>1610</v>
      </c>
      <c r="E91">
        <v>483</v>
      </c>
    </row>
    <row r="92" spans="1:5" x14ac:dyDescent="0.35">
      <c r="A92" s="1" t="s">
        <v>659</v>
      </c>
      <c r="B92" s="1" t="s">
        <v>130</v>
      </c>
      <c r="C92" s="1" t="s">
        <v>2</v>
      </c>
      <c r="D92">
        <v>740</v>
      </c>
      <c r="E92">
        <v>296</v>
      </c>
    </row>
    <row r="93" spans="1:5" x14ac:dyDescent="0.35">
      <c r="A93" s="1" t="s">
        <v>660</v>
      </c>
      <c r="B93" s="1" t="s">
        <v>131</v>
      </c>
      <c r="C93" s="1" t="s">
        <v>2</v>
      </c>
      <c r="D93">
        <v>340</v>
      </c>
      <c r="E93">
        <v>238</v>
      </c>
    </row>
    <row r="94" spans="1:5" x14ac:dyDescent="0.35">
      <c r="A94" s="1" t="s">
        <v>661</v>
      </c>
      <c r="B94" s="1" t="s">
        <v>132</v>
      </c>
      <c r="C94" s="1" t="s">
        <v>2</v>
      </c>
      <c r="D94">
        <v>1620</v>
      </c>
      <c r="E94">
        <v>648</v>
      </c>
    </row>
    <row r="95" spans="1:5" x14ac:dyDescent="0.35">
      <c r="A95" s="1" t="s">
        <v>662</v>
      </c>
      <c r="B95" s="1" t="s">
        <v>133</v>
      </c>
      <c r="C95" s="1" t="s">
        <v>2</v>
      </c>
      <c r="D95">
        <v>1650</v>
      </c>
      <c r="E95">
        <v>825</v>
      </c>
    </row>
    <row r="96" spans="1:5" x14ac:dyDescent="0.35">
      <c r="A96" s="1" t="s">
        <v>663</v>
      </c>
      <c r="B96" s="1" t="s">
        <v>134</v>
      </c>
      <c r="C96" s="1" t="s">
        <v>2</v>
      </c>
      <c r="D96">
        <v>130</v>
      </c>
      <c r="E96">
        <v>65</v>
      </c>
    </row>
    <row r="97" spans="1:5" x14ac:dyDescent="0.35">
      <c r="A97" s="1" t="s">
        <v>664</v>
      </c>
      <c r="B97" s="1" t="s">
        <v>135</v>
      </c>
      <c r="C97" s="1" t="s">
        <v>2</v>
      </c>
      <c r="D97">
        <v>670</v>
      </c>
      <c r="E97">
        <v>268</v>
      </c>
    </row>
    <row r="98" spans="1:5" x14ac:dyDescent="0.35">
      <c r="A98" s="1" t="s">
        <v>665</v>
      </c>
      <c r="B98" s="1" t="s">
        <v>136</v>
      </c>
      <c r="C98" s="1" t="s">
        <v>2</v>
      </c>
      <c r="D98">
        <v>1110</v>
      </c>
      <c r="E98">
        <v>333</v>
      </c>
    </row>
    <row r="99" spans="1:5" x14ac:dyDescent="0.35">
      <c r="A99" s="1" t="s">
        <v>575</v>
      </c>
      <c r="B99" s="1" t="s">
        <v>137</v>
      </c>
      <c r="C99" s="1" t="s">
        <v>2</v>
      </c>
      <c r="D99">
        <v>1150</v>
      </c>
      <c r="E99">
        <v>345</v>
      </c>
    </row>
    <row r="100" spans="1:5" x14ac:dyDescent="0.35">
      <c r="A100" s="1" t="s">
        <v>666</v>
      </c>
      <c r="B100" s="1" t="s">
        <v>138</v>
      </c>
      <c r="C100" s="1" t="s">
        <v>2</v>
      </c>
      <c r="D100">
        <v>990</v>
      </c>
      <c r="E100">
        <v>495</v>
      </c>
    </row>
    <row r="101" spans="1:5" x14ac:dyDescent="0.35">
      <c r="A101" s="1" t="s">
        <v>667</v>
      </c>
      <c r="B101" s="1" t="s">
        <v>139</v>
      </c>
      <c r="C101" s="1" t="s">
        <v>2</v>
      </c>
      <c r="D101">
        <v>1150</v>
      </c>
      <c r="E101">
        <v>345</v>
      </c>
    </row>
    <row r="102" spans="1:5" x14ac:dyDescent="0.35">
      <c r="A102" s="1" t="s">
        <v>668</v>
      </c>
      <c r="B102" s="1" t="s">
        <v>140</v>
      </c>
      <c r="C102" s="1" t="s">
        <v>2</v>
      </c>
      <c r="D102">
        <v>1420</v>
      </c>
      <c r="E102">
        <v>994</v>
      </c>
    </row>
    <row r="103" spans="1:5" x14ac:dyDescent="0.35">
      <c r="A103" s="1" t="s">
        <v>669</v>
      </c>
      <c r="B103" s="1" t="s">
        <v>141</v>
      </c>
      <c r="C103" s="1" t="s">
        <v>2</v>
      </c>
      <c r="D103">
        <v>420</v>
      </c>
      <c r="E103">
        <v>126</v>
      </c>
    </row>
    <row r="104" spans="1:5" x14ac:dyDescent="0.35">
      <c r="A104" s="1" t="s">
        <v>670</v>
      </c>
      <c r="B104" s="1" t="s">
        <v>142</v>
      </c>
      <c r="C104" s="1" t="s">
        <v>2</v>
      </c>
      <c r="D104">
        <v>710</v>
      </c>
      <c r="E104">
        <v>426</v>
      </c>
    </row>
    <row r="105" spans="1:5" x14ac:dyDescent="0.35">
      <c r="A105" s="1" t="s">
        <v>671</v>
      </c>
      <c r="B105" s="1" t="s">
        <v>143</v>
      </c>
      <c r="C105" s="1" t="s">
        <v>2</v>
      </c>
      <c r="D105">
        <v>570</v>
      </c>
      <c r="E105">
        <v>228</v>
      </c>
    </row>
    <row r="106" spans="1:5" x14ac:dyDescent="0.35">
      <c r="A106" s="1" t="s">
        <v>672</v>
      </c>
      <c r="B106" s="1" t="s">
        <v>144</v>
      </c>
      <c r="C106" s="1" t="s">
        <v>2</v>
      </c>
      <c r="D106">
        <v>1390</v>
      </c>
      <c r="E106">
        <v>973</v>
      </c>
    </row>
    <row r="107" spans="1:5" x14ac:dyDescent="0.35">
      <c r="A107" s="1" t="s">
        <v>673</v>
      </c>
      <c r="B107" s="1" t="s">
        <v>145</v>
      </c>
      <c r="C107" s="1" t="s">
        <v>2</v>
      </c>
      <c r="D107">
        <v>1590</v>
      </c>
      <c r="E107">
        <v>795</v>
      </c>
    </row>
    <row r="108" spans="1:5" x14ac:dyDescent="0.35">
      <c r="A108" s="1" t="s">
        <v>674</v>
      </c>
      <c r="B108" s="1" t="s">
        <v>146</v>
      </c>
      <c r="C108" s="1" t="s">
        <v>2</v>
      </c>
      <c r="D108">
        <v>1150</v>
      </c>
      <c r="E108">
        <v>345</v>
      </c>
    </row>
    <row r="109" spans="1:5" x14ac:dyDescent="0.35">
      <c r="A109" s="1" t="s">
        <v>675</v>
      </c>
      <c r="B109" s="1" t="s">
        <v>147</v>
      </c>
      <c r="C109" s="1" t="s">
        <v>148</v>
      </c>
      <c r="D109">
        <v>1280</v>
      </c>
      <c r="E109">
        <v>768</v>
      </c>
    </row>
    <row r="110" spans="1:5" x14ac:dyDescent="0.35">
      <c r="A110" s="1" t="s">
        <v>676</v>
      </c>
      <c r="B110" s="1" t="s">
        <v>149</v>
      </c>
      <c r="C110" s="1" t="s">
        <v>2</v>
      </c>
      <c r="D110">
        <v>1020</v>
      </c>
      <c r="E110">
        <v>306</v>
      </c>
    </row>
    <row r="111" spans="1:5" x14ac:dyDescent="0.35">
      <c r="A111" s="1" t="s">
        <v>677</v>
      </c>
      <c r="B111" s="1" t="s">
        <v>150</v>
      </c>
      <c r="C111" s="1" t="s">
        <v>151</v>
      </c>
      <c r="D111">
        <v>1710</v>
      </c>
      <c r="E111">
        <v>855</v>
      </c>
    </row>
    <row r="112" spans="1:5" x14ac:dyDescent="0.35">
      <c r="A112" s="1" t="s">
        <v>678</v>
      </c>
      <c r="B112" s="1" t="s">
        <v>152</v>
      </c>
      <c r="C112" s="1" t="s">
        <v>153</v>
      </c>
      <c r="D112">
        <v>1550</v>
      </c>
      <c r="E112">
        <v>1085</v>
      </c>
    </row>
    <row r="113" spans="1:5" x14ac:dyDescent="0.35">
      <c r="A113" s="1" t="s">
        <v>679</v>
      </c>
      <c r="B113" s="1" t="s">
        <v>154</v>
      </c>
      <c r="C113" s="1" t="s">
        <v>155</v>
      </c>
      <c r="D113">
        <v>880</v>
      </c>
      <c r="E113">
        <v>352</v>
      </c>
    </row>
    <row r="114" spans="1:5" x14ac:dyDescent="0.35">
      <c r="A114" s="1" t="s">
        <v>680</v>
      </c>
      <c r="B114" s="1" t="s">
        <v>156</v>
      </c>
      <c r="C114" s="1" t="s">
        <v>157</v>
      </c>
      <c r="D114">
        <v>900</v>
      </c>
      <c r="E114">
        <v>540</v>
      </c>
    </row>
    <row r="115" spans="1:5" x14ac:dyDescent="0.35">
      <c r="A115" s="1" t="s">
        <v>681</v>
      </c>
      <c r="B115" s="1" t="s">
        <v>158</v>
      </c>
      <c r="C115" s="1" t="s">
        <v>159</v>
      </c>
      <c r="D115">
        <v>430</v>
      </c>
      <c r="E115">
        <v>258</v>
      </c>
    </row>
    <row r="116" spans="1:5" x14ac:dyDescent="0.35">
      <c r="A116" s="1" t="s">
        <v>682</v>
      </c>
      <c r="B116" s="1" t="s">
        <v>160</v>
      </c>
      <c r="C116" s="1" t="s">
        <v>2</v>
      </c>
      <c r="D116">
        <v>1040</v>
      </c>
      <c r="E116">
        <v>520</v>
      </c>
    </row>
    <row r="117" spans="1:5" x14ac:dyDescent="0.35">
      <c r="A117" s="1" t="s">
        <v>683</v>
      </c>
      <c r="B117" s="1" t="s">
        <v>161</v>
      </c>
      <c r="C117" s="1" t="s">
        <v>2</v>
      </c>
      <c r="D117">
        <v>470</v>
      </c>
      <c r="E117">
        <v>329</v>
      </c>
    </row>
    <row r="118" spans="1:5" x14ac:dyDescent="0.35">
      <c r="A118" s="1" t="s">
        <v>684</v>
      </c>
      <c r="B118" s="1" t="s">
        <v>162</v>
      </c>
      <c r="C118" s="1" t="s">
        <v>2</v>
      </c>
      <c r="D118">
        <v>1680</v>
      </c>
      <c r="E118">
        <v>840</v>
      </c>
    </row>
    <row r="119" spans="1:5" x14ac:dyDescent="0.35">
      <c r="A119" s="1" t="s">
        <v>685</v>
      </c>
      <c r="B119" s="1" t="s">
        <v>163</v>
      </c>
      <c r="C119" s="1" t="s">
        <v>2</v>
      </c>
      <c r="D119">
        <v>1020</v>
      </c>
      <c r="E119">
        <v>408</v>
      </c>
    </row>
    <row r="120" spans="1:5" x14ac:dyDescent="0.35">
      <c r="A120" s="1" t="s">
        <v>686</v>
      </c>
      <c r="B120" s="1" t="s">
        <v>164</v>
      </c>
      <c r="C120" s="1" t="s">
        <v>2</v>
      </c>
      <c r="D120">
        <v>1400</v>
      </c>
      <c r="E120">
        <v>700</v>
      </c>
    </row>
    <row r="121" spans="1:5" x14ac:dyDescent="0.35">
      <c r="A121" s="1" t="s">
        <v>687</v>
      </c>
      <c r="B121" s="1" t="s">
        <v>165</v>
      </c>
      <c r="C121" s="1" t="s">
        <v>2</v>
      </c>
      <c r="D121">
        <v>240</v>
      </c>
      <c r="E121">
        <v>96</v>
      </c>
    </row>
    <row r="122" spans="1:5" x14ac:dyDescent="0.35">
      <c r="A122" s="1" t="s">
        <v>688</v>
      </c>
      <c r="B122" s="1" t="s">
        <v>166</v>
      </c>
      <c r="C122" s="1" t="s">
        <v>2</v>
      </c>
      <c r="D122">
        <v>920</v>
      </c>
      <c r="E122">
        <v>552</v>
      </c>
    </row>
    <row r="123" spans="1:5" x14ac:dyDescent="0.35">
      <c r="A123" s="1" t="s">
        <v>689</v>
      </c>
      <c r="B123" s="1" t="s">
        <v>167</v>
      </c>
      <c r="C123" s="1" t="s">
        <v>2</v>
      </c>
      <c r="D123">
        <v>1570</v>
      </c>
      <c r="E123">
        <v>471</v>
      </c>
    </row>
    <row r="124" spans="1:5" x14ac:dyDescent="0.35">
      <c r="A124" s="1" t="s">
        <v>690</v>
      </c>
      <c r="B124" s="1" t="s">
        <v>168</v>
      </c>
      <c r="C124" s="1" t="s">
        <v>2</v>
      </c>
      <c r="D124">
        <v>1150</v>
      </c>
      <c r="E124">
        <v>575</v>
      </c>
    </row>
    <row r="125" spans="1:5" x14ac:dyDescent="0.35">
      <c r="A125" s="1" t="s">
        <v>691</v>
      </c>
      <c r="B125" s="1" t="s">
        <v>169</v>
      </c>
      <c r="C125" s="1" t="s">
        <v>2</v>
      </c>
      <c r="D125">
        <v>2000</v>
      </c>
      <c r="E125">
        <v>1000</v>
      </c>
    </row>
    <row r="126" spans="1:5" x14ac:dyDescent="0.35">
      <c r="A126" s="1" t="s">
        <v>692</v>
      </c>
      <c r="B126" s="1" t="s">
        <v>170</v>
      </c>
      <c r="C126" s="1" t="s">
        <v>2</v>
      </c>
      <c r="D126">
        <v>740</v>
      </c>
      <c r="E126">
        <v>222</v>
      </c>
    </row>
    <row r="127" spans="1:5" x14ac:dyDescent="0.35">
      <c r="A127" s="1" t="s">
        <v>693</v>
      </c>
      <c r="B127" s="1" t="s">
        <v>171</v>
      </c>
      <c r="C127" s="1" t="s">
        <v>2</v>
      </c>
      <c r="D127">
        <v>830</v>
      </c>
      <c r="E127">
        <v>581</v>
      </c>
    </row>
    <row r="128" spans="1:5" x14ac:dyDescent="0.35">
      <c r="A128" s="1" t="s">
        <v>694</v>
      </c>
      <c r="B128" s="1" t="s">
        <v>172</v>
      </c>
      <c r="C128" s="1" t="s">
        <v>2</v>
      </c>
      <c r="D128">
        <v>620</v>
      </c>
      <c r="E128">
        <v>372</v>
      </c>
    </row>
    <row r="129" spans="1:5" x14ac:dyDescent="0.35">
      <c r="A129" s="1" t="s">
        <v>695</v>
      </c>
      <c r="B129" s="1" t="s">
        <v>173</v>
      </c>
      <c r="C129" s="1" t="s">
        <v>2</v>
      </c>
      <c r="D129">
        <v>1150</v>
      </c>
      <c r="E129">
        <v>690</v>
      </c>
    </row>
    <row r="130" spans="1:5" x14ac:dyDescent="0.35">
      <c r="A130" s="1" t="s">
        <v>696</v>
      </c>
      <c r="B130" s="1" t="s">
        <v>174</v>
      </c>
      <c r="C130" s="1" t="s">
        <v>2</v>
      </c>
      <c r="D130">
        <v>1600</v>
      </c>
      <c r="E130">
        <v>480</v>
      </c>
    </row>
    <row r="131" spans="1:5" x14ac:dyDescent="0.35">
      <c r="A131" s="1" t="s">
        <v>697</v>
      </c>
      <c r="B131" s="1" t="s">
        <v>175</v>
      </c>
      <c r="C131" s="1" t="s">
        <v>2</v>
      </c>
      <c r="D131">
        <v>1300</v>
      </c>
      <c r="E131">
        <v>520</v>
      </c>
    </row>
    <row r="132" spans="1:5" x14ac:dyDescent="0.35">
      <c r="A132" s="1" t="s">
        <v>698</v>
      </c>
      <c r="B132" s="1" t="s">
        <v>176</v>
      </c>
      <c r="C132" s="1" t="s">
        <v>177</v>
      </c>
      <c r="D132">
        <v>1810</v>
      </c>
      <c r="E132">
        <v>1086</v>
      </c>
    </row>
    <row r="133" spans="1:5" x14ac:dyDescent="0.35">
      <c r="A133" s="1" t="s">
        <v>699</v>
      </c>
      <c r="B133" s="1" t="s">
        <v>178</v>
      </c>
      <c r="C133" s="1" t="s">
        <v>2</v>
      </c>
      <c r="D133">
        <v>1600</v>
      </c>
      <c r="E133">
        <v>800</v>
      </c>
    </row>
    <row r="134" spans="1:5" x14ac:dyDescent="0.35">
      <c r="A134" s="1" t="s">
        <v>700</v>
      </c>
      <c r="B134" s="1" t="s">
        <v>179</v>
      </c>
      <c r="C134" s="1" t="s">
        <v>2</v>
      </c>
      <c r="D134">
        <v>1020</v>
      </c>
      <c r="E134">
        <v>510</v>
      </c>
    </row>
    <row r="135" spans="1:5" x14ac:dyDescent="0.35">
      <c r="A135" s="1" t="s">
        <v>701</v>
      </c>
      <c r="B135" s="1" t="s">
        <v>180</v>
      </c>
      <c r="C135" s="1" t="s">
        <v>2</v>
      </c>
      <c r="D135">
        <v>1090</v>
      </c>
      <c r="E135">
        <v>654</v>
      </c>
    </row>
    <row r="136" spans="1:5" x14ac:dyDescent="0.35">
      <c r="A136" s="1" t="s">
        <v>702</v>
      </c>
      <c r="B136" s="1" t="s">
        <v>181</v>
      </c>
      <c r="C136" s="1" t="s">
        <v>2</v>
      </c>
      <c r="D136">
        <v>650</v>
      </c>
      <c r="E136">
        <v>325</v>
      </c>
    </row>
    <row r="137" spans="1:5" x14ac:dyDescent="0.35">
      <c r="A137" s="1" t="s">
        <v>703</v>
      </c>
      <c r="B137" s="1" t="s">
        <v>182</v>
      </c>
      <c r="C137" s="1" t="s">
        <v>2</v>
      </c>
      <c r="D137">
        <v>930</v>
      </c>
      <c r="E137">
        <v>558</v>
      </c>
    </row>
    <row r="138" spans="1:5" x14ac:dyDescent="0.35">
      <c r="A138" s="1" t="s">
        <v>704</v>
      </c>
      <c r="B138" s="1" t="s">
        <v>183</v>
      </c>
      <c r="C138" s="1" t="s">
        <v>2</v>
      </c>
      <c r="D138">
        <v>340</v>
      </c>
      <c r="E138">
        <v>204</v>
      </c>
    </row>
    <row r="139" spans="1:5" x14ac:dyDescent="0.35">
      <c r="A139" s="1" t="s">
        <v>705</v>
      </c>
      <c r="B139" s="1" t="s">
        <v>184</v>
      </c>
      <c r="C139" s="1" t="s">
        <v>2</v>
      </c>
      <c r="D139">
        <v>1510</v>
      </c>
      <c r="E139">
        <v>755</v>
      </c>
    </row>
    <row r="140" spans="1:5" x14ac:dyDescent="0.35">
      <c r="A140" s="1" t="s">
        <v>706</v>
      </c>
      <c r="B140" s="1" t="s">
        <v>184</v>
      </c>
      <c r="C140" s="1" t="s">
        <v>2</v>
      </c>
      <c r="D140">
        <v>1520</v>
      </c>
      <c r="E140">
        <v>608</v>
      </c>
    </row>
    <row r="141" spans="1:5" x14ac:dyDescent="0.35">
      <c r="A141" s="1" t="s">
        <v>707</v>
      </c>
      <c r="B141" s="1" t="s">
        <v>185</v>
      </c>
      <c r="C141" s="1" t="s">
        <v>2</v>
      </c>
      <c r="D141">
        <v>1030</v>
      </c>
      <c r="E141">
        <v>412</v>
      </c>
    </row>
    <row r="142" spans="1:5" x14ac:dyDescent="0.35">
      <c r="A142" s="1" t="s">
        <v>572</v>
      </c>
      <c r="B142" s="1" t="s">
        <v>186</v>
      </c>
      <c r="C142" s="1" t="s">
        <v>2</v>
      </c>
      <c r="D142">
        <v>600</v>
      </c>
      <c r="E142">
        <v>360</v>
      </c>
    </row>
    <row r="143" spans="1:5" x14ac:dyDescent="0.35">
      <c r="A143" s="1" t="s">
        <v>708</v>
      </c>
      <c r="B143" s="1" t="s">
        <v>187</v>
      </c>
      <c r="C143" s="1" t="s">
        <v>188</v>
      </c>
      <c r="D143">
        <v>1640</v>
      </c>
      <c r="E143">
        <v>1148</v>
      </c>
    </row>
    <row r="144" spans="1:5" x14ac:dyDescent="0.35">
      <c r="A144" s="1" t="s">
        <v>709</v>
      </c>
      <c r="B144" s="1" t="s">
        <v>189</v>
      </c>
      <c r="C144" s="1" t="s">
        <v>2</v>
      </c>
      <c r="D144">
        <v>1260</v>
      </c>
      <c r="E144">
        <v>630</v>
      </c>
    </row>
    <row r="145" spans="1:5" x14ac:dyDescent="0.35">
      <c r="A145" s="1" t="s">
        <v>710</v>
      </c>
      <c r="B145" s="1" t="s">
        <v>190</v>
      </c>
      <c r="C145" s="1" t="s">
        <v>2</v>
      </c>
      <c r="D145">
        <v>860</v>
      </c>
      <c r="E145">
        <v>516</v>
      </c>
    </row>
    <row r="146" spans="1:5" x14ac:dyDescent="0.35">
      <c r="A146" s="1" t="s">
        <v>711</v>
      </c>
      <c r="B146" s="1" t="s">
        <v>191</v>
      </c>
      <c r="C146" s="1" t="s">
        <v>2</v>
      </c>
      <c r="D146">
        <v>1480</v>
      </c>
      <c r="E146">
        <v>444</v>
      </c>
    </row>
    <row r="147" spans="1:5" x14ac:dyDescent="0.35">
      <c r="A147" s="1" t="s">
        <v>712</v>
      </c>
      <c r="B147" s="1" t="s">
        <v>192</v>
      </c>
      <c r="C147" s="1" t="s">
        <v>2</v>
      </c>
      <c r="D147">
        <v>160</v>
      </c>
      <c r="E147">
        <v>80</v>
      </c>
    </row>
    <row r="148" spans="1:5" x14ac:dyDescent="0.35">
      <c r="A148" s="1" t="s">
        <v>713</v>
      </c>
      <c r="B148" s="1" t="s">
        <v>193</v>
      </c>
      <c r="C148" s="1" t="s">
        <v>2</v>
      </c>
      <c r="D148">
        <v>550</v>
      </c>
      <c r="E148">
        <v>165</v>
      </c>
    </row>
    <row r="149" spans="1:5" x14ac:dyDescent="0.35">
      <c r="A149" s="1" t="s">
        <v>714</v>
      </c>
      <c r="B149" s="1" t="s">
        <v>194</v>
      </c>
      <c r="C149" s="1" t="s">
        <v>2</v>
      </c>
      <c r="D149">
        <v>840</v>
      </c>
      <c r="E149">
        <v>588</v>
      </c>
    </row>
    <row r="150" spans="1:5" x14ac:dyDescent="0.35">
      <c r="A150" s="1" t="s">
        <v>715</v>
      </c>
      <c r="B150" s="1" t="s">
        <v>195</v>
      </c>
      <c r="C150" s="1" t="s">
        <v>2</v>
      </c>
      <c r="D150">
        <v>1780</v>
      </c>
      <c r="E150">
        <v>1246</v>
      </c>
    </row>
    <row r="151" spans="1:5" x14ac:dyDescent="0.35">
      <c r="A151" s="1" t="s">
        <v>716</v>
      </c>
      <c r="B151" s="1" t="s">
        <v>196</v>
      </c>
      <c r="C151" s="1" t="s">
        <v>2</v>
      </c>
      <c r="D151">
        <v>180</v>
      </c>
      <c r="E151">
        <v>108</v>
      </c>
    </row>
    <row r="152" spans="1:5" x14ac:dyDescent="0.35">
      <c r="A152" s="1" t="s">
        <v>717</v>
      </c>
      <c r="B152" s="1" t="s">
        <v>197</v>
      </c>
      <c r="C152" s="1" t="s">
        <v>2</v>
      </c>
      <c r="D152">
        <v>410</v>
      </c>
      <c r="E152">
        <v>246</v>
      </c>
    </row>
    <row r="153" spans="1:5" x14ac:dyDescent="0.35">
      <c r="A153" s="1" t="s">
        <v>718</v>
      </c>
      <c r="B153" s="1" t="s">
        <v>198</v>
      </c>
      <c r="C153" s="1" t="s">
        <v>2</v>
      </c>
      <c r="D153">
        <v>1500</v>
      </c>
      <c r="E153">
        <v>600</v>
      </c>
    </row>
    <row r="154" spans="1:5" x14ac:dyDescent="0.35">
      <c r="A154" s="1" t="s">
        <v>719</v>
      </c>
      <c r="B154" s="1" t="s">
        <v>199</v>
      </c>
      <c r="C154" s="1" t="s">
        <v>2</v>
      </c>
      <c r="D154">
        <v>1460</v>
      </c>
      <c r="E154">
        <v>584</v>
      </c>
    </row>
    <row r="155" spans="1:5" x14ac:dyDescent="0.35">
      <c r="A155" s="1" t="s">
        <v>720</v>
      </c>
      <c r="B155" s="1" t="s">
        <v>200</v>
      </c>
      <c r="C155" s="1" t="s">
        <v>2</v>
      </c>
      <c r="D155">
        <v>1560</v>
      </c>
      <c r="E155">
        <v>468</v>
      </c>
    </row>
    <row r="156" spans="1:5" x14ac:dyDescent="0.35">
      <c r="A156" s="1" t="s">
        <v>721</v>
      </c>
      <c r="B156" s="1" t="s">
        <v>201</v>
      </c>
      <c r="C156" s="1" t="s">
        <v>202</v>
      </c>
      <c r="D156">
        <v>270</v>
      </c>
      <c r="E156">
        <v>81</v>
      </c>
    </row>
    <row r="157" spans="1:5" x14ac:dyDescent="0.35">
      <c r="A157" s="1" t="s">
        <v>722</v>
      </c>
      <c r="B157" s="1" t="s">
        <v>203</v>
      </c>
      <c r="C157" s="1" t="s">
        <v>2</v>
      </c>
      <c r="D157">
        <v>780</v>
      </c>
      <c r="E157">
        <v>234</v>
      </c>
    </row>
    <row r="158" spans="1:5" x14ac:dyDescent="0.35">
      <c r="A158" s="1" t="s">
        <v>723</v>
      </c>
      <c r="B158" s="1" t="s">
        <v>204</v>
      </c>
      <c r="C158" s="1" t="s">
        <v>2</v>
      </c>
      <c r="D158">
        <v>530</v>
      </c>
      <c r="E158">
        <v>371</v>
      </c>
    </row>
    <row r="159" spans="1:5" x14ac:dyDescent="0.35">
      <c r="A159" s="1" t="s">
        <v>724</v>
      </c>
      <c r="B159" s="1" t="s">
        <v>205</v>
      </c>
      <c r="C159" s="1" t="s">
        <v>2</v>
      </c>
      <c r="D159">
        <v>540</v>
      </c>
      <c r="E159">
        <v>378</v>
      </c>
    </row>
    <row r="160" spans="1:5" x14ac:dyDescent="0.35">
      <c r="A160" s="1" t="s">
        <v>725</v>
      </c>
      <c r="B160" s="1" t="s">
        <v>206</v>
      </c>
      <c r="C160" s="1" t="s">
        <v>2</v>
      </c>
      <c r="D160">
        <v>1450</v>
      </c>
      <c r="E160">
        <v>725</v>
      </c>
    </row>
    <row r="161" spans="1:5" x14ac:dyDescent="0.35">
      <c r="A161" s="1" t="s">
        <v>726</v>
      </c>
      <c r="B161" s="1" t="s">
        <v>207</v>
      </c>
      <c r="C161" s="1" t="s">
        <v>2</v>
      </c>
      <c r="D161">
        <v>170</v>
      </c>
      <c r="E161">
        <v>68</v>
      </c>
    </row>
    <row r="162" spans="1:5" x14ac:dyDescent="0.35">
      <c r="A162" s="1" t="s">
        <v>727</v>
      </c>
      <c r="B162" s="1" t="s">
        <v>208</v>
      </c>
      <c r="C162" s="1" t="s">
        <v>2</v>
      </c>
      <c r="D162">
        <v>350</v>
      </c>
      <c r="E162">
        <v>105</v>
      </c>
    </row>
    <row r="163" spans="1:5" x14ac:dyDescent="0.35">
      <c r="A163" s="1" t="s">
        <v>728</v>
      </c>
      <c r="B163" s="1" t="s">
        <v>209</v>
      </c>
      <c r="C163" s="1" t="s">
        <v>210</v>
      </c>
      <c r="D163">
        <v>1240</v>
      </c>
      <c r="E163">
        <v>744</v>
      </c>
    </row>
    <row r="164" spans="1:5" x14ac:dyDescent="0.35">
      <c r="A164" s="1" t="s">
        <v>729</v>
      </c>
      <c r="B164" s="1" t="s">
        <v>211</v>
      </c>
      <c r="C164" s="1" t="s">
        <v>2</v>
      </c>
      <c r="D164">
        <v>670</v>
      </c>
      <c r="E164">
        <v>335</v>
      </c>
    </row>
    <row r="165" spans="1:5" x14ac:dyDescent="0.35">
      <c r="A165" s="1" t="s">
        <v>730</v>
      </c>
      <c r="B165" s="1" t="s">
        <v>212</v>
      </c>
      <c r="C165" s="1" t="s">
        <v>2</v>
      </c>
      <c r="D165">
        <v>290</v>
      </c>
      <c r="E165">
        <v>203</v>
      </c>
    </row>
    <row r="166" spans="1:5" x14ac:dyDescent="0.35">
      <c r="A166" s="1" t="s">
        <v>731</v>
      </c>
      <c r="B166" s="1" t="s">
        <v>213</v>
      </c>
      <c r="C166" s="1" t="s">
        <v>2</v>
      </c>
      <c r="D166">
        <v>750</v>
      </c>
      <c r="E166">
        <v>300</v>
      </c>
    </row>
    <row r="167" spans="1:5" x14ac:dyDescent="0.35">
      <c r="A167" s="1" t="s">
        <v>732</v>
      </c>
      <c r="B167" s="1" t="s">
        <v>214</v>
      </c>
      <c r="C167" s="1" t="s">
        <v>215</v>
      </c>
      <c r="D167">
        <v>1450</v>
      </c>
      <c r="E167">
        <v>870</v>
      </c>
    </row>
    <row r="168" spans="1:5" x14ac:dyDescent="0.35">
      <c r="A168" s="1" t="s">
        <v>733</v>
      </c>
      <c r="B168" s="1" t="s">
        <v>216</v>
      </c>
      <c r="C168" s="1" t="s">
        <v>217</v>
      </c>
      <c r="D168">
        <v>340</v>
      </c>
      <c r="E168">
        <v>170</v>
      </c>
    </row>
    <row r="169" spans="1:5" x14ac:dyDescent="0.35">
      <c r="A169" s="1" t="s">
        <v>734</v>
      </c>
      <c r="B169" s="1" t="s">
        <v>218</v>
      </c>
      <c r="C169" s="1" t="s">
        <v>2</v>
      </c>
      <c r="D169">
        <v>1430</v>
      </c>
      <c r="E169">
        <v>572</v>
      </c>
    </row>
    <row r="170" spans="1:5" x14ac:dyDescent="0.35">
      <c r="A170" s="1" t="s">
        <v>735</v>
      </c>
      <c r="B170" s="1" t="s">
        <v>219</v>
      </c>
      <c r="C170" s="1" t="s">
        <v>2</v>
      </c>
      <c r="D170">
        <v>1950</v>
      </c>
      <c r="E170">
        <v>585</v>
      </c>
    </row>
    <row r="171" spans="1:5" x14ac:dyDescent="0.35">
      <c r="A171" s="1" t="s">
        <v>736</v>
      </c>
      <c r="B171" s="1" t="s">
        <v>220</v>
      </c>
      <c r="C171" s="1" t="s">
        <v>2</v>
      </c>
      <c r="D171">
        <v>870</v>
      </c>
      <c r="E171">
        <v>522</v>
      </c>
    </row>
    <row r="172" spans="1:5" x14ac:dyDescent="0.35">
      <c r="A172" s="1" t="s">
        <v>737</v>
      </c>
      <c r="B172" s="1" t="s">
        <v>221</v>
      </c>
      <c r="C172" s="1" t="s">
        <v>2</v>
      </c>
      <c r="D172">
        <v>1800</v>
      </c>
      <c r="E172">
        <v>900</v>
      </c>
    </row>
    <row r="173" spans="1:5" x14ac:dyDescent="0.35">
      <c r="A173" s="1" t="s">
        <v>738</v>
      </c>
      <c r="B173" s="1" t="s">
        <v>222</v>
      </c>
      <c r="C173" s="1" t="s">
        <v>2</v>
      </c>
      <c r="D173">
        <v>1270</v>
      </c>
      <c r="E173">
        <v>635</v>
      </c>
    </row>
    <row r="174" spans="1:5" x14ac:dyDescent="0.35">
      <c r="A174" s="1" t="s">
        <v>739</v>
      </c>
      <c r="B174" s="1" t="s">
        <v>223</v>
      </c>
      <c r="C174" s="1" t="s">
        <v>2</v>
      </c>
      <c r="D174">
        <v>1790</v>
      </c>
      <c r="E174">
        <v>1074</v>
      </c>
    </row>
    <row r="175" spans="1:5" x14ac:dyDescent="0.35">
      <c r="A175" s="1" t="s">
        <v>740</v>
      </c>
      <c r="B175" s="1" t="s">
        <v>224</v>
      </c>
      <c r="C175" s="1" t="s">
        <v>2</v>
      </c>
      <c r="D175">
        <v>850</v>
      </c>
      <c r="E175">
        <v>510</v>
      </c>
    </row>
    <row r="176" spans="1:5" x14ac:dyDescent="0.35">
      <c r="A176" s="1" t="s">
        <v>741</v>
      </c>
      <c r="B176" s="1" t="s">
        <v>225</v>
      </c>
      <c r="C176" s="1" t="s">
        <v>2</v>
      </c>
      <c r="D176">
        <v>1280</v>
      </c>
      <c r="E176">
        <v>896</v>
      </c>
    </row>
    <row r="177" spans="1:5" x14ac:dyDescent="0.35">
      <c r="A177" s="1" t="s">
        <v>742</v>
      </c>
      <c r="B177" s="1" t="s">
        <v>226</v>
      </c>
      <c r="C177" s="1" t="s">
        <v>2</v>
      </c>
      <c r="D177">
        <v>1060</v>
      </c>
      <c r="E177">
        <v>530</v>
      </c>
    </row>
    <row r="178" spans="1:5" x14ac:dyDescent="0.35">
      <c r="A178" s="1" t="s">
        <v>743</v>
      </c>
      <c r="B178" s="1" t="s">
        <v>227</v>
      </c>
      <c r="C178" s="1" t="s">
        <v>2</v>
      </c>
      <c r="D178">
        <v>1850</v>
      </c>
      <c r="E178">
        <v>740</v>
      </c>
    </row>
    <row r="179" spans="1:5" x14ac:dyDescent="0.35">
      <c r="A179" s="1" t="s">
        <v>744</v>
      </c>
      <c r="B179" s="1" t="s">
        <v>228</v>
      </c>
      <c r="C179" s="1" t="s">
        <v>2</v>
      </c>
      <c r="D179">
        <v>360</v>
      </c>
      <c r="E179">
        <v>144</v>
      </c>
    </row>
    <row r="180" spans="1:5" x14ac:dyDescent="0.35">
      <c r="A180" s="1" t="s">
        <v>745</v>
      </c>
      <c r="B180" s="1" t="s">
        <v>229</v>
      </c>
      <c r="C180" s="1" t="s">
        <v>2</v>
      </c>
      <c r="D180">
        <v>210</v>
      </c>
      <c r="E180">
        <v>105</v>
      </c>
    </row>
    <row r="181" spans="1:5" x14ac:dyDescent="0.35">
      <c r="A181" s="1" t="s">
        <v>746</v>
      </c>
      <c r="B181" s="1" t="s">
        <v>230</v>
      </c>
      <c r="C181" s="1" t="s">
        <v>2</v>
      </c>
      <c r="D181">
        <v>470</v>
      </c>
      <c r="E181">
        <v>141</v>
      </c>
    </row>
    <row r="182" spans="1:5" x14ac:dyDescent="0.35">
      <c r="A182" s="1" t="s">
        <v>747</v>
      </c>
      <c r="B182" s="1" t="s">
        <v>231</v>
      </c>
      <c r="C182" s="1" t="s">
        <v>2</v>
      </c>
      <c r="D182">
        <v>950</v>
      </c>
      <c r="E182">
        <v>285</v>
      </c>
    </row>
    <row r="183" spans="1:5" x14ac:dyDescent="0.35">
      <c r="A183" s="1" t="s">
        <v>748</v>
      </c>
      <c r="B183" s="1" t="s">
        <v>232</v>
      </c>
      <c r="C183" s="1" t="s">
        <v>2</v>
      </c>
      <c r="D183">
        <v>1640</v>
      </c>
      <c r="E183">
        <v>820</v>
      </c>
    </row>
    <row r="184" spans="1:5" x14ac:dyDescent="0.35">
      <c r="A184" s="1" t="s">
        <v>749</v>
      </c>
      <c r="B184" s="1" t="s">
        <v>233</v>
      </c>
      <c r="C184" s="1" t="s">
        <v>234</v>
      </c>
      <c r="D184">
        <v>100</v>
      </c>
      <c r="E184">
        <v>60</v>
      </c>
    </row>
    <row r="185" spans="1:5" x14ac:dyDescent="0.35">
      <c r="A185" s="1" t="s">
        <v>750</v>
      </c>
      <c r="B185" s="1" t="s">
        <v>235</v>
      </c>
      <c r="C185" s="1" t="s">
        <v>2</v>
      </c>
      <c r="D185">
        <v>1490</v>
      </c>
      <c r="E185">
        <v>745</v>
      </c>
    </row>
    <row r="186" spans="1:5" x14ac:dyDescent="0.35">
      <c r="A186" s="1" t="s">
        <v>751</v>
      </c>
      <c r="B186" s="1" t="s">
        <v>236</v>
      </c>
      <c r="C186" s="1" t="s">
        <v>2</v>
      </c>
      <c r="D186">
        <v>1140</v>
      </c>
      <c r="E186">
        <v>342</v>
      </c>
    </row>
    <row r="187" spans="1:5" x14ac:dyDescent="0.35">
      <c r="A187" s="1" t="s">
        <v>752</v>
      </c>
      <c r="B187" s="1" t="s">
        <v>237</v>
      </c>
      <c r="C187" s="1" t="s">
        <v>2</v>
      </c>
      <c r="D187">
        <v>490</v>
      </c>
      <c r="E187">
        <v>343</v>
      </c>
    </row>
    <row r="188" spans="1:5" x14ac:dyDescent="0.35">
      <c r="A188" s="1" t="s">
        <v>753</v>
      </c>
      <c r="B188" s="1" t="s">
        <v>238</v>
      </c>
      <c r="C188" s="1" t="s">
        <v>2</v>
      </c>
      <c r="D188">
        <v>690</v>
      </c>
      <c r="E188">
        <v>483</v>
      </c>
    </row>
    <row r="189" spans="1:5" x14ac:dyDescent="0.35">
      <c r="A189" s="1" t="s">
        <v>754</v>
      </c>
      <c r="B189" s="1" t="s">
        <v>239</v>
      </c>
      <c r="C189" s="1" t="s">
        <v>2</v>
      </c>
      <c r="D189">
        <v>950</v>
      </c>
      <c r="E189">
        <v>380</v>
      </c>
    </row>
    <row r="190" spans="1:5" x14ac:dyDescent="0.35">
      <c r="A190" s="1" t="s">
        <v>755</v>
      </c>
      <c r="B190" s="1" t="s">
        <v>240</v>
      </c>
      <c r="C190" s="1" t="s">
        <v>2</v>
      </c>
      <c r="D190">
        <v>140</v>
      </c>
      <c r="E190">
        <v>56</v>
      </c>
    </row>
    <row r="191" spans="1:5" x14ac:dyDescent="0.35">
      <c r="A191" s="1" t="s">
        <v>756</v>
      </c>
      <c r="B191" s="1" t="s">
        <v>241</v>
      </c>
      <c r="C191" s="1" t="s">
        <v>2</v>
      </c>
      <c r="D191">
        <v>1240</v>
      </c>
      <c r="E191">
        <v>496</v>
      </c>
    </row>
    <row r="192" spans="1:5" x14ac:dyDescent="0.35">
      <c r="A192" s="1" t="s">
        <v>757</v>
      </c>
      <c r="B192" s="1" t="s">
        <v>242</v>
      </c>
      <c r="C192" s="1" t="s">
        <v>2</v>
      </c>
      <c r="D192">
        <v>630</v>
      </c>
      <c r="E192">
        <v>315</v>
      </c>
    </row>
    <row r="193" spans="1:5" x14ac:dyDescent="0.35">
      <c r="A193" s="1" t="s">
        <v>758</v>
      </c>
      <c r="B193" s="1" t="s">
        <v>243</v>
      </c>
      <c r="C193" s="1" t="s">
        <v>2</v>
      </c>
      <c r="D193">
        <v>1220</v>
      </c>
      <c r="E193">
        <v>854</v>
      </c>
    </row>
    <row r="194" spans="1:5" x14ac:dyDescent="0.35">
      <c r="A194" s="1" t="s">
        <v>759</v>
      </c>
      <c r="B194" s="1" t="s">
        <v>244</v>
      </c>
      <c r="C194" s="1" t="s">
        <v>2</v>
      </c>
      <c r="D194">
        <v>700</v>
      </c>
      <c r="E194">
        <v>210</v>
      </c>
    </row>
    <row r="195" spans="1:5" x14ac:dyDescent="0.35">
      <c r="A195" s="1" t="s">
        <v>760</v>
      </c>
      <c r="B195" s="1" t="s">
        <v>245</v>
      </c>
      <c r="C195" s="1" t="s">
        <v>2</v>
      </c>
      <c r="D195">
        <v>1060</v>
      </c>
      <c r="E195">
        <v>636</v>
      </c>
    </row>
    <row r="196" spans="1:5" x14ac:dyDescent="0.35">
      <c r="A196" s="1" t="s">
        <v>761</v>
      </c>
      <c r="B196" s="1" t="s">
        <v>246</v>
      </c>
      <c r="C196" s="1" t="s">
        <v>247</v>
      </c>
      <c r="D196">
        <v>1670</v>
      </c>
      <c r="E196">
        <v>501</v>
      </c>
    </row>
    <row r="197" spans="1:5" x14ac:dyDescent="0.35">
      <c r="A197" s="1" t="s">
        <v>762</v>
      </c>
      <c r="B197" s="1" t="s">
        <v>248</v>
      </c>
      <c r="C197" s="1" t="s">
        <v>2</v>
      </c>
      <c r="D197">
        <v>1200</v>
      </c>
      <c r="E197">
        <v>720</v>
      </c>
    </row>
    <row r="198" spans="1:5" x14ac:dyDescent="0.35">
      <c r="A198" s="1" t="s">
        <v>763</v>
      </c>
      <c r="B198" s="1" t="s">
        <v>249</v>
      </c>
      <c r="C198" s="1" t="s">
        <v>250</v>
      </c>
      <c r="D198">
        <v>950</v>
      </c>
      <c r="E198">
        <v>665</v>
      </c>
    </row>
    <row r="199" spans="1:5" x14ac:dyDescent="0.35">
      <c r="A199" s="1" t="s">
        <v>764</v>
      </c>
      <c r="B199" s="1" t="s">
        <v>251</v>
      </c>
      <c r="C199" s="1" t="s">
        <v>2</v>
      </c>
      <c r="D199">
        <v>1440</v>
      </c>
      <c r="E199">
        <v>432</v>
      </c>
    </row>
    <row r="200" spans="1:5" x14ac:dyDescent="0.35">
      <c r="A200" s="1" t="s">
        <v>765</v>
      </c>
      <c r="B200" s="1" t="s">
        <v>252</v>
      </c>
      <c r="C200" s="1" t="s">
        <v>2</v>
      </c>
      <c r="D200">
        <v>1150</v>
      </c>
      <c r="E200">
        <v>575</v>
      </c>
    </row>
    <row r="201" spans="1:5" x14ac:dyDescent="0.35">
      <c r="A201" s="1" t="s">
        <v>766</v>
      </c>
      <c r="B201" s="1" t="s">
        <v>253</v>
      </c>
      <c r="C201" s="1" t="s">
        <v>254</v>
      </c>
      <c r="D201">
        <v>1870</v>
      </c>
      <c r="E201">
        <v>1122</v>
      </c>
    </row>
    <row r="202" spans="1:5" x14ac:dyDescent="0.35">
      <c r="A202" s="1" t="s">
        <v>767</v>
      </c>
      <c r="B202" s="1" t="s">
        <v>255</v>
      </c>
      <c r="C202" s="1" t="s">
        <v>256</v>
      </c>
      <c r="D202">
        <v>460</v>
      </c>
      <c r="E202">
        <v>184</v>
      </c>
    </row>
    <row r="203" spans="1:5" x14ac:dyDescent="0.35">
      <c r="A203" s="1" t="s">
        <v>768</v>
      </c>
      <c r="B203" s="1" t="s">
        <v>257</v>
      </c>
      <c r="C203" s="1" t="s">
        <v>2</v>
      </c>
      <c r="D203">
        <v>680</v>
      </c>
      <c r="E203">
        <v>340</v>
      </c>
    </row>
    <row r="204" spans="1:5" x14ac:dyDescent="0.35">
      <c r="A204" s="1" t="s">
        <v>769</v>
      </c>
      <c r="B204" s="1" t="s">
        <v>258</v>
      </c>
      <c r="C204" s="1" t="s">
        <v>2</v>
      </c>
      <c r="D204">
        <v>1420</v>
      </c>
      <c r="E204">
        <v>852</v>
      </c>
    </row>
    <row r="205" spans="1:5" x14ac:dyDescent="0.35">
      <c r="A205" s="1" t="s">
        <v>770</v>
      </c>
      <c r="B205" s="1" t="s">
        <v>259</v>
      </c>
      <c r="C205" s="1" t="s">
        <v>2</v>
      </c>
      <c r="D205">
        <v>1090</v>
      </c>
      <c r="E205">
        <v>763</v>
      </c>
    </row>
    <row r="206" spans="1:5" x14ac:dyDescent="0.35">
      <c r="A206" s="1" t="s">
        <v>771</v>
      </c>
      <c r="B206" s="1" t="s">
        <v>260</v>
      </c>
      <c r="C206" s="1" t="s">
        <v>2</v>
      </c>
      <c r="D206">
        <v>1090</v>
      </c>
      <c r="E206">
        <v>545</v>
      </c>
    </row>
    <row r="207" spans="1:5" x14ac:dyDescent="0.35">
      <c r="A207" s="1" t="s">
        <v>772</v>
      </c>
      <c r="B207" s="1" t="s">
        <v>261</v>
      </c>
      <c r="C207" s="1" t="s">
        <v>2</v>
      </c>
      <c r="D207">
        <v>1660</v>
      </c>
      <c r="E207">
        <v>1162</v>
      </c>
    </row>
    <row r="208" spans="1:5" x14ac:dyDescent="0.35">
      <c r="A208" s="1" t="s">
        <v>773</v>
      </c>
      <c r="B208" s="1" t="s">
        <v>262</v>
      </c>
      <c r="C208" s="1" t="s">
        <v>263</v>
      </c>
      <c r="D208">
        <v>1740</v>
      </c>
      <c r="E208">
        <v>1218</v>
      </c>
    </row>
    <row r="209" spans="1:5" x14ac:dyDescent="0.35">
      <c r="A209" s="1" t="s">
        <v>774</v>
      </c>
      <c r="B209" s="1" t="s">
        <v>264</v>
      </c>
      <c r="C209" s="1" t="s">
        <v>2</v>
      </c>
      <c r="D209">
        <v>480</v>
      </c>
      <c r="E209">
        <v>288</v>
      </c>
    </row>
    <row r="210" spans="1:5" x14ac:dyDescent="0.35">
      <c r="A210" s="1" t="s">
        <v>775</v>
      </c>
      <c r="B210" s="1" t="s">
        <v>265</v>
      </c>
      <c r="C210" s="1" t="s">
        <v>2</v>
      </c>
      <c r="D210">
        <v>1680</v>
      </c>
      <c r="E210">
        <v>504</v>
      </c>
    </row>
    <row r="211" spans="1:5" x14ac:dyDescent="0.35">
      <c r="A211" s="1" t="s">
        <v>776</v>
      </c>
      <c r="B211" s="1" t="s">
        <v>266</v>
      </c>
      <c r="C211" s="1" t="s">
        <v>2</v>
      </c>
      <c r="D211">
        <v>1490</v>
      </c>
      <c r="E211">
        <v>596</v>
      </c>
    </row>
    <row r="212" spans="1:5" x14ac:dyDescent="0.35">
      <c r="A212" s="1" t="s">
        <v>777</v>
      </c>
      <c r="B212" s="1" t="s">
        <v>267</v>
      </c>
      <c r="C212" s="1" t="s">
        <v>2</v>
      </c>
      <c r="D212">
        <v>1370</v>
      </c>
      <c r="E212">
        <v>548</v>
      </c>
    </row>
    <row r="213" spans="1:5" x14ac:dyDescent="0.35">
      <c r="A213" s="1" t="s">
        <v>778</v>
      </c>
      <c r="B213" s="1" t="s">
        <v>268</v>
      </c>
      <c r="C213" s="1" t="s">
        <v>2</v>
      </c>
      <c r="D213">
        <v>1420</v>
      </c>
      <c r="E213">
        <v>426</v>
      </c>
    </row>
    <row r="214" spans="1:5" x14ac:dyDescent="0.35">
      <c r="A214" s="1" t="s">
        <v>779</v>
      </c>
      <c r="B214" s="1" t="s">
        <v>269</v>
      </c>
      <c r="C214" s="1" t="s">
        <v>2</v>
      </c>
      <c r="D214">
        <v>230</v>
      </c>
      <c r="E214">
        <v>138</v>
      </c>
    </row>
    <row r="215" spans="1:5" x14ac:dyDescent="0.35">
      <c r="A215" s="1" t="s">
        <v>780</v>
      </c>
      <c r="B215" s="1" t="s">
        <v>270</v>
      </c>
      <c r="C215" s="1" t="s">
        <v>2</v>
      </c>
      <c r="D215">
        <v>870</v>
      </c>
      <c r="E215">
        <v>261</v>
      </c>
    </row>
    <row r="216" spans="1:5" x14ac:dyDescent="0.35">
      <c r="A216" s="1" t="s">
        <v>781</v>
      </c>
      <c r="B216" s="1" t="s">
        <v>271</v>
      </c>
      <c r="C216" s="1" t="s">
        <v>2</v>
      </c>
      <c r="D216">
        <v>1990</v>
      </c>
      <c r="E216">
        <v>597</v>
      </c>
    </row>
    <row r="217" spans="1:5" x14ac:dyDescent="0.35">
      <c r="A217" s="1" t="s">
        <v>782</v>
      </c>
      <c r="B217" s="1" t="s">
        <v>272</v>
      </c>
      <c r="C217" s="1" t="s">
        <v>273</v>
      </c>
      <c r="D217">
        <v>360</v>
      </c>
      <c r="E217">
        <v>144</v>
      </c>
    </row>
    <row r="218" spans="1:5" x14ac:dyDescent="0.35">
      <c r="A218" s="1" t="s">
        <v>783</v>
      </c>
      <c r="B218" s="1" t="s">
        <v>274</v>
      </c>
      <c r="C218" s="1" t="s">
        <v>2</v>
      </c>
      <c r="D218">
        <v>1840</v>
      </c>
      <c r="E218">
        <v>1288</v>
      </c>
    </row>
    <row r="219" spans="1:5" x14ac:dyDescent="0.35">
      <c r="A219" s="1" t="s">
        <v>784</v>
      </c>
      <c r="B219" s="1" t="s">
        <v>275</v>
      </c>
      <c r="C219" s="1" t="s">
        <v>2</v>
      </c>
      <c r="D219">
        <v>1470</v>
      </c>
      <c r="E219">
        <v>1029</v>
      </c>
    </row>
    <row r="220" spans="1:5" x14ac:dyDescent="0.35">
      <c r="A220" s="1" t="s">
        <v>785</v>
      </c>
      <c r="B220" s="1" t="s">
        <v>3</v>
      </c>
      <c r="C220" s="1" t="s">
        <v>4</v>
      </c>
      <c r="D220">
        <v>1860</v>
      </c>
      <c r="E220">
        <v>930</v>
      </c>
    </row>
    <row r="221" spans="1:5" x14ac:dyDescent="0.35">
      <c r="A221" s="1" t="s">
        <v>786</v>
      </c>
      <c r="B221" s="1" t="s">
        <v>276</v>
      </c>
      <c r="C221" s="1" t="s">
        <v>2</v>
      </c>
      <c r="D221">
        <v>190</v>
      </c>
      <c r="E221">
        <v>57</v>
      </c>
    </row>
    <row r="222" spans="1:5" x14ac:dyDescent="0.35">
      <c r="A222" s="1" t="s">
        <v>787</v>
      </c>
      <c r="B222" s="1" t="s">
        <v>277</v>
      </c>
      <c r="C222" s="1" t="s">
        <v>2</v>
      </c>
      <c r="D222">
        <v>800</v>
      </c>
      <c r="E222">
        <v>400</v>
      </c>
    </row>
    <row r="223" spans="1:5" x14ac:dyDescent="0.35">
      <c r="A223" s="1" t="s">
        <v>788</v>
      </c>
      <c r="B223" s="1" t="s">
        <v>278</v>
      </c>
      <c r="C223" s="1" t="s">
        <v>2</v>
      </c>
      <c r="D223">
        <v>830</v>
      </c>
      <c r="E223">
        <v>415</v>
      </c>
    </row>
    <row r="224" spans="1:5" x14ac:dyDescent="0.35">
      <c r="A224" s="1" t="s">
        <v>789</v>
      </c>
      <c r="B224" s="1" t="s">
        <v>279</v>
      </c>
      <c r="C224" s="1" t="s">
        <v>2</v>
      </c>
      <c r="D224">
        <v>1360</v>
      </c>
      <c r="E224">
        <v>816</v>
      </c>
    </row>
    <row r="225" spans="1:5" x14ac:dyDescent="0.35">
      <c r="A225" s="1" t="s">
        <v>790</v>
      </c>
      <c r="B225" s="1" t="s">
        <v>280</v>
      </c>
      <c r="C225" s="1" t="s">
        <v>281</v>
      </c>
      <c r="D225">
        <v>1500</v>
      </c>
      <c r="E225">
        <v>600</v>
      </c>
    </row>
    <row r="226" spans="1:5" x14ac:dyDescent="0.35">
      <c r="A226" s="1" t="s">
        <v>791</v>
      </c>
      <c r="B226" s="1" t="s">
        <v>282</v>
      </c>
      <c r="C226" s="1" t="s">
        <v>2</v>
      </c>
      <c r="D226">
        <v>410</v>
      </c>
      <c r="E226">
        <v>205</v>
      </c>
    </row>
    <row r="227" spans="1:5" x14ac:dyDescent="0.35">
      <c r="A227" s="1" t="s">
        <v>792</v>
      </c>
      <c r="B227" s="1" t="s">
        <v>283</v>
      </c>
      <c r="C227" s="1" t="s">
        <v>2</v>
      </c>
      <c r="D227">
        <v>100</v>
      </c>
      <c r="E227">
        <v>50</v>
      </c>
    </row>
    <row r="228" spans="1:5" x14ac:dyDescent="0.35">
      <c r="A228" s="1" t="s">
        <v>793</v>
      </c>
      <c r="B228" s="1" t="s">
        <v>284</v>
      </c>
      <c r="C228" s="1" t="s">
        <v>285</v>
      </c>
      <c r="D228">
        <v>840</v>
      </c>
      <c r="E228">
        <v>588</v>
      </c>
    </row>
    <row r="229" spans="1:5" x14ac:dyDescent="0.35">
      <c r="A229" s="1" t="s">
        <v>794</v>
      </c>
      <c r="B229" s="1" t="s">
        <v>286</v>
      </c>
      <c r="C229" s="1" t="s">
        <v>2</v>
      </c>
      <c r="D229">
        <v>480</v>
      </c>
      <c r="E229">
        <v>192</v>
      </c>
    </row>
    <row r="230" spans="1:5" x14ac:dyDescent="0.35">
      <c r="A230" s="1" t="s">
        <v>795</v>
      </c>
      <c r="B230" s="1" t="s">
        <v>287</v>
      </c>
      <c r="C230" s="1" t="s">
        <v>2</v>
      </c>
      <c r="D230">
        <v>1740</v>
      </c>
      <c r="E230">
        <v>522</v>
      </c>
    </row>
    <row r="231" spans="1:5" x14ac:dyDescent="0.35">
      <c r="A231" s="1" t="s">
        <v>796</v>
      </c>
      <c r="B231" s="1" t="s">
        <v>288</v>
      </c>
      <c r="C231" s="1" t="s">
        <v>2</v>
      </c>
      <c r="D231">
        <v>1680</v>
      </c>
      <c r="E231">
        <v>672</v>
      </c>
    </row>
    <row r="232" spans="1:5" x14ac:dyDescent="0.35">
      <c r="A232" s="1" t="s">
        <v>797</v>
      </c>
      <c r="B232" s="1" t="s">
        <v>289</v>
      </c>
      <c r="C232" s="1" t="s">
        <v>290</v>
      </c>
      <c r="D232">
        <v>800</v>
      </c>
      <c r="E232">
        <v>560</v>
      </c>
    </row>
    <row r="233" spans="1:5" x14ac:dyDescent="0.35">
      <c r="A233" s="1" t="s">
        <v>798</v>
      </c>
      <c r="B233" s="1" t="s">
        <v>291</v>
      </c>
      <c r="C233" s="1" t="s">
        <v>292</v>
      </c>
      <c r="D233">
        <v>850</v>
      </c>
      <c r="E233">
        <v>425</v>
      </c>
    </row>
    <row r="234" spans="1:5" x14ac:dyDescent="0.35">
      <c r="A234" s="1" t="s">
        <v>799</v>
      </c>
      <c r="B234" s="1" t="s">
        <v>293</v>
      </c>
      <c r="C234" s="1" t="s">
        <v>2</v>
      </c>
      <c r="D234">
        <v>750</v>
      </c>
      <c r="E234">
        <v>525</v>
      </c>
    </row>
    <row r="235" spans="1:5" x14ac:dyDescent="0.35">
      <c r="A235" s="1" t="s">
        <v>800</v>
      </c>
      <c r="B235" s="1" t="s">
        <v>294</v>
      </c>
      <c r="C235" s="1" t="s">
        <v>295</v>
      </c>
      <c r="D235">
        <v>680</v>
      </c>
      <c r="E235">
        <v>408</v>
      </c>
    </row>
    <row r="236" spans="1:5" x14ac:dyDescent="0.35">
      <c r="A236" s="1" t="s">
        <v>801</v>
      </c>
      <c r="B236" s="1" t="s">
        <v>296</v>
      </c>
      <c r="C236" s="1" t="s">
        <v>297</v>
      </c>
      <c r="D236">
        <v>1000</v>
      </c>
      <c r="E236">
        <v>400</v>
      </c>
    </row>
    <row r="237" spans="1:5" x14ac:dyDescent="0.35">
      <c r="A237" s="1" t="s">
        <v>802</v>
      </c>
      <c r="B237" s="1" t="s">
        <v>298</v>
      </c>
      <c r="C237" s="1" t="s">
        <v>299</v>
      </c>
      <c r="D237">
        <v>1270</v>
      </c>
      <c r="E237">
        <v>635</v>
      </c>
    </row>
    <row r="238" spans="1:5" x14ac:dyDescent="0.35">
      <c r="A238" s="1" t="s">
        <v>803</v>
      </c>
      <c r="B238" s="1" t="s">
        <v>300</v>
      </c>
      <c r="C238" s="1" t="s">
        <v>2</v>
      </c>
      <c r="D238">
        <v>1620</v>
      </c>
      <c r="E238">
        <v>648</v>
      </c>
    </row>
    <row r="239" spans="1:5" x14ac:dyDescent="0.35">
      <c r="A239" s="1" t="s">
        <v>804</v>
      </c>
      <c r="B239" s="1" t="s">
        <v>301</v>
      </c>
      <c r="C239" s="1" t="s">
        <v>302</v>
      </c>
      <c r="D239">
        <v>1110</v>
      </c>
      <c r="E239">
        <v>777</v>
      </c>
    </row>
    <row r="240" spans="1:5" x14ac:dyDescent="0.35">
      <c r="A240" s="1" t="s">
        <v>805</v>
      </c>
      <c r="B240" s="1" t="s">
        <v>303</v>
      </c>
      <c r="C240" s="1" t="s">
        <v>2</v>
      </c>
      <c r="D240">
        <v>1890</v>
      </c>
      <c r="E240">
        <v>945</v>
      </c>
    </row>
    <row r="241" spans="1:5" x14ac:dyDescent="0.35">
      <c r="A241" s="1" t="s">
        <v>806</v>
      </c>
      <c r="B241" s="1" t="s">
        <v>304</v>
      </c>
      <c r="C241" s="1" t="s">
        <v>2</v>
      </c>
      <c r="D241">
        <v>1370</v>
      </c>
      <c r="E241">
        <v>822</v>
      </c>
    </row>
    <row r="242" spans="1:5" x14ac:dyDescent="0.35">
      <c r="A242" s="1" t="s">
        <v>807</v>
      </c>
      <c r="B242" s="1" t="s">
        <v>305</v>
      </c>
      <c r="C242" s="1" t="s">
        <v>2</v>
      </c>
      <c r="D242">
        <v>1870</v>
      </c>
      <c r="E242">
        <v>935</v>
      </c>
    </row>
    <row r="243" spans="1:5" x14ac:dyDescent="0.35">
      <c r="A243" s="1" t="s">
        <v>808</v>
      </c>
      <c r="B243" s="1" t="s">
        <v>306</v>
      </c>
      <c r="C243" s="1" t="s">
        <v>2</v>
      </c>
      <c r="D243">
        <v>950</v>
      </c>
      <c r="E243">
        <v>380</v>
      </c>
    </row>
    <row r="244" spans="1:5" x14ac:dyDescent="0.35">
      <c r="A244" s="1" t="s">
        <v>809</v>
      </c>
      <c r="B244" s="1" t="s">
        <v>307</v>
      </c>
      <c r="C244" s="1" t="s">
        <v>2</v>
      </c>
      <c r="D244">
        <v>440</v>
      </c>
      <c r="E244">
        <v>264</v>
      </c>
    </row>
    <row r="245" spans="1:5" x14ac:dyDescent="0.35">
      <c r="A245" s="1" t="s">
        <v>810</v>
      </c>
      <c r="B245" s="1" t="s">
        <v>308</v>
      </c>
      <c r="C245" s="1" t="s">
        <v>2</v>
      </c>
      <c r="D245">
        <v>690</v>
      </c>
      <c r="E245">
        <v>483</v>
      </c>
    </row>
    <row r="246" spans="1:5" x14ac:dyDescent="0.35">
      <c r="A246" s="1" t="s">
        <v>811</v>
      </c>
      <c r="B246" s="1" t="s">
        <v>309</v>
      </c>
      <c r="C246" s="1" t="s">
        <v>2</v>
      </c>
      <c r="D246">
        <v>280</v>
      </c>
      <c r="E246">
        <v>196</v>
      </c>
    </row>
    <row r="247" spans="1:5" x14ac:dyDescent="0.35">
      <c r="A247" s="1" t="s">
        <v>812</v>
      </c>
      <c r="B247" s="1" t="s">
        <v>310</v>
      </c>
      <c r="C247" s="1" t="s">
        <v>2</v>
      </c>
      <c r="D247">
        <v>240</v>
      </c>
      <c r="E247">
        <v>144</v>
      </c>
    </row>
    <row r="248" spans="1:5" x14ac:dyDescent="0.35">
      <c r="A248" s="1" t="s">
        <v>813</v>
      </c>
      <c r="B248" s="1" t="s">
        <v>311</v>
      </c>
      <c r="C248" s="1" t="s">
        <v>2</v>
      </c>
      <c r="D248">
        <v>510</v>
      </c>
      <c r="E248">
        <v>306</v>
      </c>
    </row>
    <row r="249" spans="1:5" x14ac:dyDescent="0.35">
      <c r="A249" s="1" t="s">
        <v>814</v>
      </c>
      <c r="B249" s="1" t="s">
        <v>312</v>
      </c>
      <c r="C249" s="1" t="s">
        <v>2</v>
      </c>
      <c r="D249">
        <v>400</v>
      </c>
      <c r="E249">
        <v>240</v>
      </c>
    </row>
    <row r="250" spans="1:5" x14ac:dyDescent="0.35">
      <c r="A250" s="1" t="s">
        <v>815</v>
      </c>
      <c r="B250" s="1" t="s">
        <v>313</v>
      </c>
      <c r="C250" s="1" t="s">
        <v>2</v>
      </c>
      <c r="D250">
        <v>430</v>
      </c>
      <c r="E250">
        <v>172</v>
      </c>
    </row>
    <row r="251" spans="1:5" x14ac:dyDescent="0.35">
      <c r="A251" s="1" t="s">
        <v>816</v>
      </c>
      <c r="B251" s="1" t="s">
        <v>314</v>
      </c>
      <c r="C251" s="1" t="s">
        <v>2</v>
      </c>
      <c r="D251">
        <v>1640</v>
      </c>
      <c r="E251">
        <v>984</v>
      </c>
    </row>
    <row r="252" spans="1:5" x14ac:dyDescent="0.35">
      <c r="A252" s="1" t="s">
        <v>817</v>
      </c>
      <c r="B252" s="1" t="s">
        <v>315</v>
      </c>
      <c r="C252" s="1" t="s">
        <v>2</v>
      </c>
      <c r="D252">
        <v>500</v>
      </c>
      <c r="E252">
        <v>250</v>
      </c>
    </row>
    <row r="253" spans="1:5" x14ac:dyDescent="0.35">
      <c r="A253" s="1" t="s">
        <v>818</v>
      </c>
      <c r="B253" s="1" t="s">
        <v>316</v>
      </c>
      <c r="C253" s="1" t="s">
        <v>2</v>
      </c>
      <c r="D253">
        <v>1900</v>
      </c>
      <c r="E253">
        <v>570</v>
      </c>
    </row>
    <row r="254" spans="1:5" x14ac:dyDescent="0.35">
      <c r="A254" s="1" t="s">
        <v>819</v>
      </c>
      <c r="B254" s="1" t="s">
        <v>317</v>
      </c>
      <c r="C254" s="1" t="s">
        <v>318</v>
      </c>
      <c r="D254">
        <v>350</v>
      </c>
      <c r="E254">
        <v>105</v>
      </c>
    </row>
    <row r="255" spans="1:5" x14ac:dyDescent="0.35">
      <c r="A255" s="1" t="s">
        <v>820</v>
      </c>
      <c r="B255" s="1" t="s">
        <v>319</v>
      </c>
      <c r="C255" s="1" t="s">
        <v>2</v>
      </c>
      <c r="D255">
        <v>520</v>
      </c>
      <c r="E255">
        <v>208</v>
      </c>
    </row>
    <row r="256" spans="1:5" x14ac:dyDescent="0.35">
      <c r="A256" s="1" t="s">
        <v>821</v>
      </c>
      <c r="B256" s="1" t="s">
        <v>320</v>
      </c>
      <c r="C256" s="1" t="s">
        <v>321</v>
      </c>
      <c r="D256">
        <v>610</v>
      </c>
      <c r="E256">
        <v>183</v>
      </c>
    </row>
    <row r="257" spans="1:5" x14ac:dyDescent="0.35">
      <c r="A257" s="1" t="s">
        <v>822</v>
      </c>
      <c r="B257" s="1" t="s">
        <v>322</v>
      </c>
      <c r="C257" s="1" t="s">
        <v>2</v>
      </c>
      <c r="D257">
        <v>1920</v>
      </c>
      <c r="E257">
        <v>960</v>
      </c>
    </row>
    <row r="258" spans="1:5" x14ac:dyDescent="0.35">
      <c r="A258" s="1" t="s">
        <v>823</v>
      </c>
      <c r="B258" s="1" t="s">
        <v>323</v>
      </c>
      <c r="C258" s="1" t="s">
        <v>324</v>
      </c>
      <c r="D258">
        <v>730</v>
      </c>
      <c r="E258">
        <v>365</v>
      </c>
    </row>
    <row r="259" spans="1:5" x14ac:dyDescent="0.35">
      <c r="A259" s="1" t="s">
        <v>824</v>
      </c>
      <c r="B259" s="1" t="s">
        <v>325</v>
      </c>
      <c r="C259" s="1" t="s">
        <v>326</v>
      </c>
      <c r="D259">
        <v>1710</v>
      </c>
      <c r="E259">
        <v>1026</v>
      </c>
    </row>
    <row r="260" spans="1:5" x14ac:dyDescent="0.35">
      <c r="A260" s="1" t="s">
        <v>825</v>
      </c>
      <c r="B260" s="1" t="s">
        <v>327</v>
      </c>
      <c r="C260" s="1" t="s">
        <v>328</v>
      </c>
      <c r="D260">
        <v>270</v>
      </c>
      <c r="E260">
        <v>108</v>
      </c>
    </row>
    <row r="261" spans="1:5" x14ac:dyDescent="0.35">
      <c r="A261" s="1" t="s">
        <v>826</v>
      </c>
      <c r="B261" s="1" t="s">
        <v>329</v>
      </c>
      <c r="C261" s="1" t="s">
        <v>330</v>
      </c>
      <c r="D261">
        <v>1830</v>
      </c>
      <c r="E261">
        <v>1281</v>
      </c>
    </row>
    <row r="262" spans="1:5" x14ac:dyDescent="0.35">
      <c r="A262" s="1" t="s">
        <v>827</v>
      </c>
      <c r="B262" s="1" t="s">
        <v>331</v>
      </c>
      <c r="C262" s="1" t="s">
        <v>2</v>
      </c>
      <c r="D262">
        <v>1690</v>
      </c>
      <c r="E262">
        <v>845</v>
      </c>
    </row>
    <row r="263" spans="1:5" x14ac:dyDescent="0.35">
      <c r="A263" s="1" t="s">
        <v>828</v>
      </c>
      <c r="B263" s="1" t="s">
        <v>332</v>
      </c>
      <c r="C263" s="1" t="s">
        <v>2</v>
      </c>
      <c r="D263">
        <v>200</v>
      </c>
      <c r="E263">
        <v>100</v>
      </c>
    </row>
    <row r="264" spans="1:5" x14ac:dyDescent="0.35">
      <c r="A264" s="1" t="s">
        <v>829</v>
      </c>
      <c r="B264" s="1" t="s">
        <v>333</v>
      </c>
      <c r="C264" s="1" t="s">
        <v>2</v>
      </c>
      <c r="D264">
        <v>640</v>
      </c>
      <c r="E264">
        <v>256</v>
      </c>
    </row>
    <row r="265" spans="1:5" x14ac:dyDescent="0.35">
      <c r="A265" s="1" t="s">
        <v>830</v>
      </c>
      <c r="B265" s="1" t="s">
        <v>334</v>
      </c>
      <c r="C265" s="1" t="s">
        <v>2</v>
      </c>
      <c r="D265">
        <v>1660</v>
      </c>
      <c r="E265">
        <v>664</v>
      </c>
    </row>
    <row r="266" spans="1:5" x14ac:dyDescent="0.35">
      <c r="A266" s="1" t="s">
        <v>831</v>
      </c>
      <c r="B266" s="1" t="s">
        <v>334</v>
      </c>
      <c r="C266" s="1" t="s">
        <v>2</v>
      </c>
      <c r="D266">
        <v>1690</v>
      </c>
      <c r="E266">
        <v>1183</v>
      </c>
    </row>
    <row r="267" spans="1:5" x14ac:dyDescent="0.35">
      <c r="A267" s="1" t="s">
        <v>832</v>
      </c>
      <c r="B267" s="1" t="s">
        <v>335</v>
      </c>
      <c r="C267" s="1" t="s">
        <v>336</v>
      </c>
      <c r="D267">
        <v>1020</v>
      </c>
      <c r="E267">
        <v>408</v>
      </c>
    </row>
    <row r="268" spans="1:5" x14ac:dyDescent="0.35">
      <c r="A268" s="1" t="s">
        <v>833</v>
      </c>
      <c r="B268" s="1" t="s">
        <v>337</v>
      </c>
      <c r="C268" s="1" t="s">
        <v>2</v>
      </c>
      <c r="D268">
        <v>1430</v>
      </c>
      <c r="E268">
        <v>572</v>
      </c>
    </row>
    <row r="269" spans="1:5" x14ac:dyDescent="0.35">
      <c r="A269" s="1" t="s">
        <v>834</v>
      </c>
      <c r="B269" s="1" t="s">
        <v>338</v>
      </c>
      <c r="C269" s="1" t="s">
        <v>2</v>
      </c>
      <c r="D269">
        <v>1860</v>
      </c>
      <c r="E269">
        <v>558</v>
      </c>
    </row>
    <row r="270" spans="1:5" x14ac:dyDescent="0.35">
      <c r="A270" s="1" t="s">
        <v>835</v>
      </c>
      <c r="B270" s="1" t="s">
        <v>339</v>
      </c>
      <c r="C270" s="1" t="s">
        <v>2</v>
      </c>
      <c r="D270">
        <v>1780</v>
      </c>
      <c r="E270">
        <v>712</v>
      </c>
    </row>
    <row r="271" spans="1:5" x14ac:dyDescent="0.35">
      <c r="A271" s="1" t="s">
        <v>836</v>
      </c>
      <c r="B271" s="1" t="s">
        <v>340</v>
      </c>
      <c r="C271" s="1" t="s">
        <v>2</v>
      </c>
      <c r="D271">
        <v>950</v>
      </c>
      <c r="E271">
        <v>665</v>
      </c>
    </row>
    <row r="272" spans="1:5" x14ac:dyDescent="0.35">
      <c r="A272" s="1" t="s">
        <v>837</v>
      </c>
      <c r="B272" s="1" t="s">
        <v>341</v>
      </c>
      <c r="C272" s="1" t="s">
        <v>2</v>
      </c>
      <c r="D272">
        <v>1420</v>
      </c>
      <c r="E272">
        <v>852</v>
      </c>
    </row>
    <row r="273" spans="1:5" x14ac:dyDescent="0.35">
      <c r="A273" s="1" t="s">
        <v>838</v>
      </c>
      <c r="B273" s="1" t="s">
        <v>342</v>
      </c>
      <c r="C273" s="1" t="s">
        <v>2</v>
      </c>
      <c r="D273">
        <v>1610</v>
      </c>
      <c r="E273">
        <v>1127</v>
      </c>
    </row>
    <row r="274" spans="1:5" x14ac:dyDescent="0.35">
      <c r="A274" s="1" t="s">
        <v>839</v>
      </c>
      <c r="B274" s="1" t="s">
        <v>343</v>
      </c>
      <c r="C274" s="1" t="s">
        <v>2</v>
      </c>
      <c r="D274">
        <v>1380</v>
      </c>
      <c r="E274">
        <v>828</v>
      </c>
    </row>
    <row r="275" spans="1:5" x14ac:dyDescent="0.35">
      <c r="A275" s="1" t="s">
        <v>840</v>
      </c>
      <c r="B275" s="1" t="s">
        <v>344</v>
      </c>
      <c r="C275" s="1" t="s">
        <v>345</v>
      </c>
      <c r="D275">
        <v>1460</v>
      </c>
      <c r="E275">
        <v>730</v>
      </c>
    </row>
    <row r="276" spans="1:5" x14ac:dyDescent="0.35">
      <c r="A276" s="1" t="s">
        <v>841</v>
      </c>
      <c r="B276" s="1" t="s">
        <v>346</v>
      </c>
      <c r="C276" s="1" t="s">
        <v>347</v>
      </c>
      <c r="D276">
        <v>580</v>
      </c>
      <c r="E276">
        <v>290</v>
      </c>
    </row>
    <row r="277" spans="1:5" x14ac:dyDescent="0.35">
      <c r="A277" s="1" t="s">
        <v>842</v>
      </c>
      <c r="B277" s="1" t="s">
        <v>348</v>
      </c>
      <c r="C277" s="1" t="s">
        <v>349</v>
      </c>
      <c r="D277">
        <v>220</v>
      </c>
      <c r="E277">
        <v>110</v>
      </c>
    </row>
    <row r="278" spans="1:5" x14ac:dyDescent="0.35">
      <c r="A278" s="1" t="s">
        <v>843</v>
      </c>
      <c r="B278" s="1" t="s">
        <v>350</v>
      </c>
      <c r="C278" s="1" t="s">
        <v>2</v>
      </c>
      <c r="D278">
        <v>760</v>
      </c>
      <c r="E278">
        <v>532</v>
      </c>
    </row>
    <row r="279" spans="1:5" x14ac:dyDescent="0.35">
      <c r="A279" s="1" t="s">
        <v>844</v>
      </c>
      <c r="B279" s="1" t="s">
        <v>351</v>
      </c>
      <c r="C279" s="1" t="s">
        <v>2</v>
      </c>
      <c r="D279">
        <v>1780</v>
      </c>
      <c r="E279">
        <v>712</v>
      </c>
    </row>
    <row r="280" spans="1:5" x14ac:dyDescent="0.35">
      <c r="A280" s="1" t="s">
        <v>845</v>
      </c>
      <c r="B280" s="1" t="s">
        <v>352</v>
      </c>
      <c r="C280" s="1" t="s">
        <v>2</v>
      </c>
      <c r="D280">
        <v>420</v>
      </c>
      <c r="E280">
        <v>294</v>
      </c>
    </row>
    <row r="281" spans="1:5" x14ac:dyDescent="0.35">
      <c r="A281" s="1" t="s">
        <v>846</v>
      </c>
      <c r="B281" s="1" t="s">
        <v>353</v>
      </c>
      <c r="C281" s="1" t="s">
        <v>2</v>
      </c>
      <c r="D281">
        <v>410</v>
      </c>
      <c r="E281">
        <v>205</v>
      </c>
    </row>
    <row r="282" spans="1:5" x14ac:dyDescent="0.35">
      <c r="A282" s="1" t="s">
        <v>847</v>
      </c>
      <c r="B282" s="1" t="s">
        <v>354</v>
      </c>
      <c r="C282" s="1" t="s">
        <v>2</v>
      </c>
      <c r="D282">
        <v>140</v>
      </c>
      <c r="E282">
        <v>56</v>
      </c>
    </row>
    <row r="283" spans="1:5" x14ac:dyDescent="0.35">
      <c r="A283" s="1" t="s">
        <v>848</v>
      </c>
      <c r="B283" s="1" t="s">
        <v>355</v>
      </c>
      <c r="C283" s="1" t="s">
        <v>2</v>
      </c>
      <c r="D283">
        <v>300</v>
      </c>
      <c r="E283">
        <v>90</v>
      </c>
    </row>
    <row r="284" spans="1:5" x14ac:dyDescent="0.35">
      <c r="A284" s="1" t="s">
        <v>849</v>
      </c>
      <c r="B284" s="1" t="s">
        <v>356</v>
      </c>
      <c r="C284" s="1" t="s">
        <v>2</v>
      </c>
      <c r="D284">
        <v>460</v>
      </c>
      <c r="E284">
        <v>230</v>
      </c>
    </row>
    <row r="285" spans="1:5" x14ac:dyDescent="0.35">
      <c r="A285" s="1" t="s">
        <v>850</v>
      </c>
      <c r="B285" s="1" t="s">
        <v>357</v>
      </c>
      <c r="C285" s="1" t="s">
        <v>2</v>
      </c>
      <c r="D285">
        <v>800</v>
      </c>
      <c r="E285">
        <v>320</v>
      </c>
    </row>
    <row r="286" spans="1:5" x14ac:dyDescent="0.35">
      <c r="A286" s="1" t="s">
        <v>851</v>
      </c>
      <c r="B286" s="1" t="s">
        <v>358</v>
      </c>
      <c r="C286" s="1" t="s">
        <v>2</v>
      </c>
      <c r="D286">
        <v>790</v>
      </c>
      <c r="E286">
        <v>395</v>
      </c>
    </row>
    <row r="287" spans="1:5" x14ac:dyDescent="0.35">
      <c r="A287" s="1" t="s">
        <v>852</v>
      </c>
      <c r="B287" s="1" t="s">
        <v>359</v>
      </c>
      <c r="C287" s="1" t="s">
        <v>2</v>
      </c>
      <c r="D287">
        <v>1790</v>
      </c>
      <c r="E287">
        <v>716</v>
      </c>
    </row>
    <row r="288" spans="1:5" x14ac:dyDescent="0.35">
      <c r="A288" s="1" t="s">
        <v>853</v>
      </c>
      <c r="B288" s="1" t="s">
        <v>360</v>
      </c>
      <c r="C288" s="1" t="s">
        <v>2</v>
      </c>
      <c r="D288">
        <v>1490</v>
      </c>
      <c r="E288">
        <v>894</v>
      </c>
    </row>
    <row r="289" spans="1:5" x14ac:dyDescent="0.35">
      <c r="A289" s="1" t="s">
        <v>854</v>
      </c>
      <c r="B289" s="1" t="s">
        <v>361</v>
      </c>
      <c r="C289" s="1" t="s">
        <v>2</v>
      </c>
      <c r="D289">
        <v>810</v>
      </c>
      <c r="E289">
        <v>567</v>
      </c>
    </row>
    <row r="290" spans="1:5" x14ac:dyDescent="0.35">
      <c r="A290" s="1" t="s">
        <v>855</v>
      </c>
      <c r="B290" s="1" t="s">
        <v>362</v>
      </c>
      <c r="C290" s="1" t="s">
        <v>2</v>
      </c>
      <c r="D290">
        <v>230</v>
      </c>
      <c r="E290">
        <v>138</v>
      </c>
    </row>
    <row r="291" spans="1:5" x14ac:dyDescent="0.35">
      <c r="A291" s="1" t="s">
        <v>856</v>
      </c>
      <c r="B291" s="1" t="s">
        <v>363</v>
      </c>
      <c r="C291" s="1" t="s">
        <v>2</v>
      </c>
      <c r="D291">
        <v>1000</v>
      </c>
      <c r="E291">
        <v>500</v>
      </c>
    </row>
    <row r="292" spans="1:5" x14ac:dyDescent="0.35">
      <c r="A292" s="1" t="s">
        <v>857</v>
      </c>
      <c r="B292" s="1" t="s">
        <v>364</v>
      </c>
      <c r="C292" s="1" t="s">
        <v>2</v>
      </c>
      <c r="D292">
        <v>140</v>
      </c>
      <c r="E292">
        <v>98</v>
      </c>
    </row>
    <row r="293" spans="1:5" x14ac:dyDescent="0.35">
      <c r="A293" s="1" t="s">
        <v>858</v>
      </c>
      <c r="B293" s="1" t="s">
        <v>365</v>
      </c>
      <c r="C293" s="1" t="s">
        <v>2</v>
      </c>
      <c r="D293">
        <v>1070</v>
      </c>
      <c r="E293">
        <v>535</v>
      </c>
    </row>
    <row r="294" spans="1:5" x14ac:dyDescent="0.35">
      <c r="A294" s="1" t="s">
        <v>859</v>
      </c>
      <c r="B294" s="1" t="s">
        <v>366</v>
      </c>
      <c r="C294" s="1" t="s">
        <v>2</v>
      </c>
      <c r="D294">
        <v>190</v>
      </c>
      <c r="E294">
        <v>133</v>
      </c>
    </row>
    <row r="295" spans="1:5" x14ac:dyDescent="0.35">
      <c r="A295" s="1" t="s">
        <v>860</v>
      </c>
      <c r="B295" s="1" t="s">
        <v>367</v>
      </c>
      <c r="C295" s="1" t="s">
        <v>2</v>
      </c>
      <c r="D295">
        <v>380</v>
      </c>
      <c r="E295">
        <v>152</v>
      </c>
    </row>
    <row r="296" spans="1:5" x14ac:dyDescent="0.35">
      <c r="A296" s="1" t="s">
        <v>861</v>
      </c>
      <c r="B296" s="1" t="s">
        <v>368</v>
      </c>
      <c r="C296" s="1" t="s">
        <v>369</v>
      </c>
      <c r="D296">
        <v>1820</v>
      </c>
      <c r="E296">
        <v>910</v>
      </c>
    </row>
    <row r="297" spans="1:5" x14ac:dyDescent="0.35">
      <c r="A297" s="1" t="s">
        <v>862</v>
      </c>
      <c r="B297" s="1" t="s">
        <v>370</v>
      </c>
      <c r="C297" s="1" t="s">
        <v>2</v>
      </c>
      <c r="D297">
        <v>970</v>
      </c>
      <c r="E297">
        <v>388</v>
      </c>
    </row>
    <row r="298" spans="1:5" x14ac:dyDescent="0.35">
      <c r="A298" s="1" t="s">
        <v>863</v>
      </c>
      <c r="B298" s="1" t="s">
        <v>371</v>
      </c>
      <c r="C298" s="1" t="s">
        <v>2</v>
      </c>
      <c r="D298">
        <v>1150</v>
      </c>
      <c r="E298">
        <v>805</v>
      </c>
    </row>
    <row r="299" spans="1:5" x14ac:dyDescent="0.35">
      <c r="A299" s="1" t="s">
        <v>864</v>
      </c>
      <c r="B299" s="1" t="s">
        <v>372</v>
      </c>
      <c r="C299" s="1" t="s">
        <v>2</v>
      </c>
      <c r="D299">
        <v>1670</v>
      </c>
      <c r="E299">
        <v>668</v>
      </c>
    </row>
    <row r="300" spans="1:5" x14ac:dyDescent="0.35">
      <c r="A300" s="1" t="s">
        <v>865</v>
      </c>
      <c r="B300" s="1" t="s">
        <v>373</v>
      </c>
      <c r="C300" s="1" t="s">
        <v>2</v>
      </c>
      <c r="D300">
        <v>830</v>
      </c>
      <c r="E300">
        <v>498</v>
      </c>
    </row>
    <row r="301" spans="1:5" x14ac:dyDescent="0.35">
      <c r="A301" s="1" t="s">
        <v>866</v>
      </c>
      <c r="B301" s="1" t="s">
        <v>374</v>
      </c>
      <c r="C301" s="1" t="s">
        <v>2</v>
      </c>
      <c r="D301">
        <v>350</v>
      </c>
      <c r="E301">
        <v>140</v>
      </c>
    </row>
    <row r="302" spans="1:5" x14ac:dyDescent="0.35">
      <c r="A302" s="1" t="s">
        <v>867</v>
      </c>
      <c r="B302" s="1" t="s">
        <v>375</v>
      </c>
      <c r="C302" s="1" t="s">
        <v>2</v>
      </c>
      <c r="D302">
        <v>280</v>
      </c>
      <c r="E302">
        <v>140</v>
      </c>
    </row>
    <row r="303" spans="1:5" x14ac:dyDescent="0.35">
      <c r="A303" s="1" t="s">
        <v>868</v>
      </c>
      <c r="B303" s="1" t="s">
        <v>376</v>
      </c>
      <c r="C303" s="1" t="s">
        <v>2</v>
      </c>
      <c r="D303">
        <v>1220</v>
      </c>
      <c r="E303">
        <v>366</v>
      </c>
    </row>
    <row r="304" spans="1:5" x14ac:dyDescent="0.35">
      <c r="A304" s="1" t="s">
        <v>869</v>
      </c>
      <c r="B304" s="1" t="s">
        <v>377</v>
      </c>
      <c r="C304" s="1" t="s">
        <v>2</v>
      </c>
      <c r="D304">
        <v>1050</v>
      </c>
      <c r="E304">
        <v>630</v>
      </c>
    </row>
    <row r="305" spans="1:5" x14ac:dyDescent="0.35">
      <c r="A305" s="1" t="s">
        <v>870</v>
      </c>
      <c r="B305" s="1" t="s">
        <v>378</v>
      </c>
      <c r="C305" s="1" t="s">
        <v>2</v>
      </c>
      <c r="D305">
        <v>630</v>
      </c>
      <c r="E305">
        <v>441</v>
      </c>
    </row>
    <row r="306" spans="1:5" x14ac:dyDescent="0.35">
      <c r="A306" s="1" t="s">
        <v>871</v>
      </c>
      <c r="B306" s="1" t="s">
        <v>379</v>
      </c>
      <c r="C306" s="1" t="s">
        <v>2</v>
      </c>
      <c r="D306">
        <v>1300</v>
      </c>
      <c r="E306">
        <v>910</v>
      </c>
    </row>
    <row r="307" spans="1:5" x14ac:dyDescent="0.35">
      <c r="A307" s="1" t="s">
        <v>872</v>
      </c>
      <c r="B307" s="1" t="s">
        <v>380</v>
      </c>
      <c r="C307" s="1" t="s">
        <v>2</v>
      </c>
      <c r="D307">
        <v>2000</v>
      </c>
      <c r="E307">
        <v>1200</v>
      </c>
    </row>
    <row r="308" spans="1:5" x14ac:dyDescent="0.35">
      <c r="A308" s="1" t="s">
        <v>873</v>
      </c>
      <c r="B308" s="1" t="s">
        <v>381</v>
      </c>
      <c r="C308" s="1" t="s">
        <v>382</v>
      </c>
      <c r="D308">
        <v>770</v>
      </c>
      <c r="E308">
        <v>385</v>
      </c>
    </row>
    <row r="309" spans="1:5" x14ac:dyDescent="0.35">
      <c r="A309" s="1" t="s">
        <v>874</v>
      </c>
      <c r="B309" s="1" t="s">
        <v>383</v>
      </c>
      <c r="C309" s="1" t="s">
        <v>2</v>
      </c>
      <c r="D309">
        <v>1630</v>
      </c>
      <c r="E309">
        <v>978</v>
      </c>
    </row>
    <row r="310" spans="1:5" x14ac:dyDescent="0.35">
      <c r="A310" s="1" t="s">
        <v>875</v>
      </c>
      <c r="B310" s="1" t="s">
        <v>384</v>
      </c>
      <c r="C310" s="1" t="s">
        <v>2</v>
      </c>
      <c r="D310">
        <v>1990</v>
      </c>
      <c r="E310">
        <v>995</v>
      </c>
    </row>
    <row r="311" spans="1:5" x14ac:dyDescent="0.35">
      <c r="A311" s="1" t="s">
        <v>876</v>
      </c>
      <c r="B311" s="1" t="s">
        <v>385</v>
      </c>
      <c r="C311" s="1" t="s">
        <v>2</v>
      </c>
      <c r="D311">
        <v>390</v>
      </c>
      <c r="E311">
        <v>273</v>
      </c>
    </row>
    <row r="312" spans="1:5" x14ac:dyDescent="0.35">
      <c r="A312" s="1" t="s">
        <v>877</v>
      </c>
      <c r="B312" s="1" t="s">
        <v>386</v>
      </c>
      <c r="C312" s="1" t="s">
        <v>2</v>
      </c>
      <c r="D312">
        <v>710</v>
      </c>
      <c r="E312">
        <v>426</v>
      </c>
    </row>
    <row r="313" spans="1:5" x14ac:dyDescent="0.35">
      <c r="A313" s="1" t="s">
        <v>878</v>
      </c>
      <c r="B313" s="1" t="s">
        <v>387</v>
      </c>
      <c r="C313" s="1" t="s">
        <v>2</v>
      </c>
      <c r="D313">
        <v>280</v>
      </c>
      <c r="E313">
        <v>168</v>
      </c>
    </row>
    <row r="314" spans="1:5" x14ac:dyDescent="0.35">
      <c r="A314" s="1" t="s">
        <v>879</v>
      </c>
      <c r="B314" s="1" t="s">
        <v>388</v>
      </c>
      <c r="C314" s="1" t="s">
        <v>2</v>
      </c>
      <c r="D314">
        <v>1280</v>
      </c>
      <c r="E314">
        <v>896</v>
      </c>
    </row>
    <row r="315" spans="1:5" x14ac:dyDescent="0.35">
      <c r="A315" s="1" t="s">
        <v>880</v>
      </c>
      <c r="B315" s="1" t="s">
        <v>389</v>
      </c>
      <c r="C315" s="1" t="s">
        <v>2</v>
      </c>
      <c r="D315">
        <v>530</v>
      </c>
      <c r="E315">
        <v>212</v>
      </c>
    </row>
    <row r="316" spans="1:5" x14ac:dyDescent="0.35">
      <c r="A316" s="1" t="s">
        <v>881</v>
      </c>
      <c r="B316" s="1" t="s">
        <v>390</v>
      </c>
      <c r="C316" s="1" t="s">
        <v>391</v>
      </c>
      <c r="D316">
        <v>1730</v>
      </c>
      <c r="E316">
        <v>1038</v>
      </c>
    </row>
    <row r="317" spans="1:5" x14ac:dyDescent="0.35">
      <c r="A317" s="1" t="s">
        <v>882</v>
      </c>
      <c r="B317" s="1" t="s">
        <v>392</v>
      </c>
      <c r="C317" s="1" t="s">
        <v>2</v>
      </c>
      <c r="D317">
        <v>1210</v>
      </c>
      <c r="E317">
        <v>605</v>
      </c>
    </row>
    <row r="318" spans="1:5" x14ac:dyDescent="0.35">
      <c r="A318" s="1" t="s">
        <v>883</v>
      </c>
      <c r="B318" s="1" t="s">
        <v>393</v>
      </c>
      <c r="C318" s="1" t="s">
        <v>394</v>
      </c>
      <c r="D318">
        <v>840</v>
      </c>
      <c r="E318">
        <v>588</v>
      </c>
    </row>
    <row r="319" spans="1:5" x14ac:dyDescent="0.35">
      <c r="A319" s="1" t="s">
        <v>884</v>
      </c>
      <c r="B319" s="1" t="s">
        <v>395</v>
      </c>
      <c r="C319" s="1" t="s">
        <v>2</v>
      </c>
      <c r="D319">
        <v>1300</v>
      </c>
      <c r="E319">
        <v>520</v>
      </c>
    </row>
    <row r="320" spans="1:5" x14ac:dyDescent="0.35">
      <c r="A320" s="1" t="s">
        <v>885</v>
      </c>
      <c r="B320" s="1" t="s">
        <v>396</v>
      </c>
      <c r="C320" s="1" t="s">
        <v>2</v>
      </c>
      <c r="D320">
        <v>680</v>
      </c>
      <c r="E320">
        <v>204</v>
      </c>
    </row>
    <row r="321" spans="1:5" x14ac:dyDescent="0.35">
      <c r="A321" s="1" t="s">
        <v>886</v>
      </c>
      <c r="B321" s="1" t="s">
        <v>397</v>
      </c>
      <c r="C321" s="1" t="s">
        <v>2</v>
      </c>
      <c r="D321">
        <v>1730</v>
      </c>
      <c r="E321">
        <v>519</v>
      </c>
    </row>
    <row r="322" spans="1:5" x14ac:dyDescent="0.35">
      <c r="A322" s="1" t="s">
        <v>887</v>
      </c>
      <c r="B322" s="1" t="s">
        <v>398</v>
      </c>
      <c r="C322" s="1" t="s">
        <v>2</v>
      </c>
      <c r="D322">
        <v>1140</v>
      </c>
      <c r="E322">
        <v>342</v>
      </c>
    </row>
    <row r="323" spans="1:5" x14ac:dyDescent="0.35">
      <c r="A323" s="1" t="s">
        <v>888</v>
      </c>
      <c r="B323" s="1" t="s">
        <v>399</v>
      </c>
      <c r="C323" s="1" t="s">
        <v>400</v>
      </c>
      <c r="D323">
        <v>830</v>
      </c>
      <c r="E323">
        <v>249</v>
      </c>
    </row>
    <row r="324" spans="1:5" x14ac:dyDescent="0.35">
      <c r="A324" s="1" t="s">
        <v>889</v>
      </c>
      <c r="B324" s="1" t="s">
        <v>401</v>
      </c>
      <c r="C324" s="1" t="s">
        <v>402</v>
      </c>
      <c r="D324">
        <v>1160</v>
      </c>
      <c r="E324">
        <v>812</v>
      </c>
    </row>
    <row r="325" spans="1:5" x14ac:dyDescent="0.35">
      <c r="A325" s="1" t="s">
        <v>890</v>
      </c>
      <c r="B325" s="1" t="s">
        <v>403</v>
      </c>
      <c r="C325" s="1" t="s">
        <v>2</v>
      </c>
      <c r="D325">
        <v>660</v>
      </c>
      <c r="E325">
        <v>462</v>
      </c>
    </row>
    <row r="326" spans="1:5" x14ac:dyDescent="0.35">
      <c r="A326" s="1" t="s">
        <v>891</v>
      </c>
      <c r="B326" s="1" t="s">
        <v>404</v>
      </c>
      <c r="C326" s="1" t="s">
        <v>405</v>
      </c>
      <c r="D326">
        <v>790</v>
      </c>
      <c r="E326">
        <v>553</v>
      </c>
    </row>
    <row r="327" spans="1:5" x14ac:dyDescent="0.35">
      <c r="A327" s="1" t="s">
        <v>892</v>
      </c>
      <c r="B327" s="1" t="s">
        <v>406</v>
      </c>
      <c r="C327" s="1" t="s">
        <v>2</v>
      </c>
      <c r="D327">
        <v>460</v>
      </c>
      <c r="E327">
        <v>276</v>
      </c>
    </row>
    <row r="328" spans="1:5" x14ac:dyDescent="0.35">
      <c r="A328" s="1" t="s">
        <v>893</v>
      </c>
      <c r="B328" s="1" t="s">
        <v>407</v>
      </c>
      <c r="C328" s="1" t="s">
        <v>2</v>
      </c>
      <c r="D328">
        <v>590</v>
      </c>
      <c r="E328">
        <v>413</v>
      </c>
    </row>
    <row r="329" spans="1:5" x14ac:dyDescent="0.35">
      <c r="A329" s="1" t="s">
        <v>894</v>
      </c>
      <c r="B329" s="1" t="s">
        <v>408</v>
      </c>
      <c r="C329" s="1" t="s">
        <v>2</v>
      </c>
      <c r="D329">
        <v>1490</v>
      </c>
      <c r="E329">
        <v>894</v>
      </c>
    </row>
    <row r="330" spans="1:5" x14ac:dyDescent="0.35">
      <c r="A330" s="1" t="s">
        <v>895</v>
      </c>
      <c r="B330" s="1" t="s">
        <v>409</v>
      </c>
      <c r="C330" s="1" t="s">
        <v>2</v>
      </c>
      <c r="D330">
        <v>690</v>
      </c>
      <c r="E330">
        <v>276</v>
      </c>
    </row>
    <row r="331" spans="1:5" x14ac:dyDescent="0.35">
      <c r="A331" s="1" t="s">
        <v>896</v>
      </c>
      <c r="B331" s="1" t="s">
        <v>410</v>
      </c>
      <c r="C331" s="1" t="s">
        <v>2</v>
      </c>
      <c r="D331">
        <v>560</v>
      </c>
      <c r="E331">
        <v>392</v>
      </c>
    </row>
    <row r="332" spans="1:5" x14ac:dyDescent="0.35">
      <c r="A332" s="1" t="s">
        <v>897</v>
      </c>
      <c r="B332" s="1" t="s">
        <v>411</v>
      </c>
      <c r="C332" s="1" t="s">
        <v>2</v>
      </c>
      <c r="D332">
        <v>440</v>
      </c>
      <c r="E332">
        <v>308</v>
      </c>
    </row>
    <row r="333" spans="1:5" x14ac:dyDescent="0.35">
      <c r="A333" s="1" t="s">
        <v>898</v>
      </c>
      <c r="B333" s="1" t="s">
        <v>412</v>
      </c>
      <c r="C333" s="1" t="s">
        <v>2</v>
      </c>
      <c r="D333">
        <v>400</v>
      </c>
      <c r="E333">
        <v>240</v>
      </c>
    </row>
    <row r="334" spans="1:5" x14ac:dyDescent="0.35">
      <c r="A334" s="1" t="s">
        <v>899</v>
      </c>
      <c r="B334" s="1" t="s">
        <v>413</v>
      </c>
      <c r="C334" s="1" t="s">
        <v>2</v>
      </c>
      <c r="D334">
        <v>1310</v>
      </c>
      <c r="E334">
        <v>524</v>
      </c>
    </row>
    <row r="335" spans="1:5" x14ac:dyDescent="0.35">
      <c r="A335" s="1" t="s">
        <v>900</v>
      </c>
      <c r="B335" s="1" t="s">
        <v>414</v>
      </c>
      <c r="C335" s="1" t="s">
        <v>2</v>
      </c>
      <c r="D335">
        <v>620</v>
      </c>
      <c r="E335">
        <v>372</v>
      </c>
    </row>
    <row r="336" spans="1:5" x14ac:dyDescent="0.35">
      <c r="A336" s="1" t="s">
        <v>901</v>
      </c>
      <c r="B336" s="1" t="s">
        <v>415</v>
      </c>
      <c r="C336" s="1" t="s">
        <v>2</v>
      </c>
      <c r="D336">
        <v>120</v>
      </c>
      <c r="E336">
        <v>84</v>
      </c>
    </row>
    <row r="337" spans="1:5" x14ac:dyDescent="0.35">
      <c r="A337" s="1" t="s">
        <v>902</v>
      </c>
      <c r="B337" s="1" t="s">
        <v>416</v>
      </c>
      <c r="C337" s="1" t="s">
        <v>2</v>
      </c>
      <c r="D337">
        <v>910</v>
      </c>
      <c r="E337">
        <v>273</v>
      </c>
    </row>
    <row r="338" spans="1:5" x14ac:dyDescent="0.35">
      <c r="A338" s="1" t="s">
        <v>903</v>
      </c>
      <c r="B338" s="1" t="s">
        <v>417</v>
      </c>
      <c r="C338" s="1" t="s">
        <v>418</v>
      </c>
      <c r="D338">
        <v>910</v>
      </c>
      <c r="E338">
        <v>637</v>
      </c>
    </row>
    <row r="339" spans="1:5" x14ac:dyDescent="0.35">
      <c r="A339" s="1" t="s">
        <v>904</v>
      </c>
      <c r="B339" s="1" t="s">
        <v>419</v>
      </c>
      <c r="C339" s="1" t="s">
        <v>2</v>
      </c>
      <c r="D339">
        <v>1740</v>
      </c>
      <c r="E339">
        <v>1044</v>
      </c>
    </row>
    <row r="340" spans="1:5" x14ac:dyDescent="0.35">
      <c r="A340" s="1" t="s">
        <v>905</v>
      </c>
      <c r="B340" s="1" t="s">
        <v>420</v>
      </c>
      <c r="C340" s="1" t="s">
        <v>2</v>
      </c>
      <c r="D340">
        <v>670</v>
      </c>
      <c r="E340">
        <v>335</v>
      </c>
    </row>
    <row r="341" spans="1:5" x14ac:dyDescent="0.35">
      <c r="A341" s="1" t="s">
        <v>906</v>
      </c>
      <c r="B341" s="1" t="s">
        <v>421</v>
      </c>
      <c r="C341" s="1" t="s">
        <v>2</v>
      </c>
      <c r="D341">
        <v>580</v>
      </c>
      <c r="E341">
        <v>232</v>
      </c>
    </row>
    <row r="342" spans="1:5" x14ac:dyDescent="0.35">
      <c r="A342" s="1" t="s">
        <v>907</v>
      </c>
      <c r="B342" s="1" t="s">
        <v>422</v>
      </c>
      <c r="C342" s="1" t="s">
        <v>2</v>
      </c>
      <c r="D342">
        <v>1930</v>
      </c>
      <c r="E342">
        <v>1158</v>
      </c>
    </row>
    <row r="343" spans="1:5" x14ac:dyDescent="0.35">
      <c r="A343" s="1" t="s">
        <v>908</v>
      </c>
      <c r="B343" s="1" t="s">
        <v>423</v>
      </c>
      <c r="C343" s="1" t="s">
        <v>2</v>
      </c>
      <c r="D343">
        <v>1280</v>
      </c>
      <c r="E343">
        <v>768</v>
      </c>
    </row>
    <row r="344" spans="1:5" x14ac:dyDescent="0.35">
      <c r="A344" s="1" t="s">
        <v>909</v>
      </c>
      <c r="B344" s="1" t="s">
        <v>424</v>
      </c>
      <c r="C344" s="1" t="s">
        <v>2</v>
      </c>
      <c r="D344">
        <v>390</v>
      </c>
      <c r="E344">
        <v>195</v>
      </c>
    </row>
    <row r="345" spans="1:5" x14ac:dyDescent="0.35">
      <c r="A345" s="1" t="s">
        <v>910</v>
      </c>
      <c r="B345" s="1" t="s">
        <v>425</v>
      </c>
      <c r="C345" s="1" t="s">
        <v>426</v>
      </c>
      <c r="D345">
        <v>1070</v>
      </c>
      <c r="E345">
        <v>642</v>
      </c>
    </row>
    <row r="346" spans="1:5" x14ac:dyDescent="0.35">
      <c r="A346" s="1" t="s">
        <v>911</v>
      </c>
      <c r="B346" s="1" t="s">
        <v>427</v>
      </c>
      <c r="C346" s="1" t="s">
        <v>2</v>
      </c>
      <c r="D346">
        <v>890</v>
      </c>
      <c r="E346">
        <v>445</v>
      </c>
    </row>
    <row r="347" spans="1:5" x14ac:dyDescent="0.35">
      <c r="A347" s="1" t="s">
        <v>912</v>
      </c>
      <c r="B347" s="1" t="s">
        <v>428</v>
      </c>
      <c r="C347" s="1" t="s">
        <v>2</v>
      </c>
      <c r="D347">
        <v>1960</v>
      </c>
      <c r="E347">
        <v>1176</v>
      </c>
    </row>
    <row r="348" spans="1:5" x14ac:dyDescent="0.35">
      <c r="A348" s="1" t="s">
        <v>913</v>
      </c>
      <c r="B348" s="1" t="s">
        <v>429</v>
      </c>
      <c r="C348" s="1" t="s">
        <v>2</v>
      </c>
      <c r="D348">
        <v>1890</v>
      </c>
      <c r="E348">
        <v>1323</v>
      </c>
    </row>
    <row r="349" spans="1:5" x14ac:dyDescent="0.35">
      <c r="A349" s="1" t="s">
        <v>914</v>
      </c>
      <c r="B349" s="1" t="s">
        <v>430</v>
      </c>
      <c r="C349" s="1" t="s">
        <v>2</v>
      </c>
      <c r="D349">
        <v>930</v>
      </c>
      <c r="E349">
        <v>465</v>
      </c>
    </row>
    <row r="350" spans="1:5" x14ac:dyDescent="0.35">
      <c r="A350" s="1" t="s">
        <v>915</v>
      </c>
      <c r="B350" s="1" t="s">
        <v>431</v>
      </c>
      <c r="C350" s="1" t="s">
        <v>2</v>
      </c>
      <c r="D350">
        <v>1010</v>
      </c>
      <c r="E350">
        <v>505</v>
      </c>
    </row>
    <row r="351" spans="1:5" x14ac:dyDescent="0.35">
      <c r="A351" s="1" t="s">
        <v>916</v>
      </c>
      <c r="B351" s="1" t="s">
        <v>432</v>
      </c>
      <c r="C351" s="1" t="s">
        <v>2</v>
      </c>
      <c r="D351">
        <v>670</v>
      </c>
      <c r="E351">
        <v>402</v>
      </c>
    </row>
    <row r="352" spans="1:5" x14ac:dyDescent="0.35">
      <c r="A352" s="1" t="s">
        <v>917</v>
      </c>
      <c r="B352" s="1" t="s">
        <v>433</v>
      </c>
      <c r="C352" s="1" t="s">
        <v>2</v>
      </c>
      <c r="D352">
        <v>1870</v>
      </c>
      <c r="E352">
        <v>1122</v>
      </c>
    </row>
    <row r="353" spans="1:5" x14ac:dyDescent="0.35">
      <c r="A353" s="1" t="s">
        <v>918</v>
      </c>
      <c r="B353" s="1" t="s">
        <v>434</v>
      </c>
      <c r="C353" s="1" t="s">
        <v>2</v>
      </c>
      <c r="D353">
        <v>990</v>
      </c>
      <c r="E353">
        <v>693</v>
      </c>
    </row>
    <row r="354" spans="1:5" x14ac:dyDescent="0.35">
      <c r="A354" s="1" t="s">
        <v>919</v>
      </c>
      <c r="B354" s="1" t="s">
        <v>435</v>
      </c>
      <c r="C354" s="1" t="s">
        <v>2</v>
      </c>
      <c r="D354">
        <v>960</v>
      </c>
      <c r="E354">
        <v>288</v>
      </c>
    </row>
    <row r="355" spans="1:5" x14ac:dyDescent="0.35">
      <c r="A355" s="1" t="s">
        <v>920</v>
      </c>
      <c r="B355" s="1" t="s">
        <v>436</v>
      </c>
      <c r="C355" s="1" t="s">
        <v>2</v>
      </c>
      <c r="D355">
        <v>1390</v>
      </c>
      <c r="E355">
        <v>834</v>
      </c>
    </row>
    <row r="356" spans="1:5" x14ac:dyDescent="0.35">
      <c r="A356" s="1" t="s">
        <v>921</v>
      </c>
      <c r="B356" s="1" t="s">
        <v>437</v>
      </c>
      <c r="C356" s="1" t="s">
        <v>2</v>
      </c>
      <c r="D356">
        <v>1510</v>
      </c>
      <c r="E356">
        <v>1057</v>
      </c>
    </row>
    <row r="357" spans="1:5" x14ac:dyDescent="0.35">
      <c r="A357" s="1" t="s">
        <v>922</v>
      </c>
      <c r="B357" s="1" t="s">
        <v>438</v>
      </c>
      <c r="C357" s="1" t="s">
        <v>2</v>
      </c>
      <c r="D357">
        <v>210</v>
      </c>
      <c r="E357">
        <v>84</v>
      </c>
    </row>
    <row r="358" spans="1:5" x14ac:dyDescent="0.35">
      <c r="A358" s="1" t="s">
        <v>923</v>
      </c>
      <c r="B358" s="1" t="s">
        <v>439</v>
      </c>
      <c r="C358" s="1" t="s">
        <v>2</v>
      </c>
      <c r="D358">
        <v>1270</v>
      </c>
      <c r="E358">
        <v>889</v>
      </c>
    </row>
    <row r="359" spans="1:5" x14ac:dyDescent="0.35">
      <c r="A359" s="1" t="s">
        <v>924</v>
      </c>
      <c r="B359" s="1" t="s">
        <v>440</v>
      </c>
      <c r="C359" s="1" t="s">
        <v>2</v>
      </c>
      <c r="D359">
        <v>1900</v>
      </c>
      <c r="E359">
        <v>760</v>
      </c>
    </row>
    <row r="360" spans="1:5" x14ac:dyDescent="0.35">
      <c r="A360" s="1" t="s">
        <v>925</v>
      </c>
      <c r="B360" s="1" t="s">
        <v>441</v>
      </c>
      <c r="C360" s="1" t="s">
        <v>2</v>
      </c>
      <c r="D360">
        <v>180</v>
      </c>
      <c r="E360">
        <v>108</v>
      </c>
    </row>
    <row r="361" spans="1:5" x14ac:dyDescent="0.35">
      <c r="A361" s="1" t="s">
        <v>926</v>
      </c>
      <c r="B361" s="1" t="s">
        <v>442</v>
      </c>
      <c r="C361" s="1" t="s">
        <v>2</v>
      </c>
      <c r="D361">
        <v>520</v>
      </c>
      <c r="E361">
        <v>364</v>
      </c>
    </row>
    <row r="362" spans="1:5" x14ac:dyDescent="0.35">
      <c r="A362" s="1" t="s">
        <v>927</v>
      </c>
      <c r="B362" s="1" t="s">
        <v>443</v>
      </c>
      <c r="C362" s="1" t="s">
        <v>2</v>
      </c>
      <c r="D362">
        <v>1970</v>
      </c>
      <c r="E362">
        <v>788</v>
      </c>
    </row>
    <row r="363" spans="1:5" x14ac:dyDescent="0.35">
      <c r="A363" s="1" t="s">
        <v>928</v>
      </c>
      <c r="B363" s="1" t="s">
        <v>444</v>
      </c>
      <c r="C363" s="1" t="s">
        <v>2</v>
      </c>
      <c r="D363">
        <v>1730</v>
      </c>
      <c r="E363">
        <v>1038</v>
      </c>
    </row>
    <row r="364" spans="1:5" x14ac:dyDescent="0.35">
      <c r="A364" s="1" t="s">
        <v>929</v>
      </c>
      <c r="B364" s="1" t="s">
        <v>445</v>
      </c>
      <c r="C364" s="1" t="s">
        <v>2</v>
      </c>
      <c r="D364">
        <v>1520</v>
      </c>
      <c r="E364">
        <v>912</v>
      </c>
    </row>
    <row r="365" spans="1:5" x14ac:dyDescent="0.35">
      <c r="A365" s="1" t="s">
        <v>930</v>
      </c>
      <c r="B365" s="1" t="s">
        <v>446</v>
      </c>
      <c r="C365" s="1" t="s">
        <v>2</v>
      </c>
      <c r="D365">
        <v>540</v>
      </c>
      <c r="E365">
        <v>324</v>
      </c>
    </row>
    <row r="366" spans="1:5" x14ac:dyDescent="0.35">
      <c r="A366" s="1" t="s">
        <v>931</v>
      </c>
      <c r="B366" s="1" t="s">
        <v>447</v>
      </c>
      <c r="C366" s="1" t="s">
        <v>448</v>
      </c>
      <c r="D366">
        <v>620</v>
      </c>
      <c r="E366">
        <v>434</v>
      </c>
    </row>
    <row r="367" spans="1:5" x14ac:dyDescent="0.35">
      <c r="A367" s="1" t="s">
        <v>932</v>
      </c>
      <c r="B367" s="1" t="s">
        <v>449</v>
      </c>
      <c r="C367" s="1" t="s">
        <v>2</v>
      </c>
      <c r="D367">
        <v>500</v>
      </c>
      <c r="E367">
        <v>300</v>
      </c>
    </row>
    <row r="368" spans="1:5" x14ac:dyDescent="0.35">
      <c r="A368" s="1" t="s">
        <v>933</v>
      </c>
      <c r="B368" s="1" t="s">
        <v>450</v>
      </c>
      <c r="C368" s="1" t="s">
        <v>2</v>
      </c>
      <c r="D368">
        <v>1920</v>
      </c>
      <c r="E368">
        <v>1344</v>
      </c>
    </row>
    <row r="369" spans="1:5" x14ac:dyDescent="0.35">
      <c r="A369" s="1" t="s">
        <v>934</v>
      </c>
      <c r="B369" s="1" t="s">
        <v>451</v>
      </c>
      <c r="C369" s="1" t="s">
        <v>2</v>
      </c>
      <c r="D369">
        <v>1040</v>
      </c>
      <c r="E369">
        <v>312</v>
      </c>
    </row>
    <row r="370" spans="1:5" x14ac:dyDescent="0.35">
      <c r="A370" s="1" t="s">
        <v>935</v>
      </c>
      <c r="B370" s="1" t="s">
        <v>452</v>
      </c>
      <c r="C370" s="1" t="s">
        <v>2</v>
      </c>
      <c r="D370">
        <v>1310</v>
      </c>
      <c r="E370">
        <v>655</v>
      </c>
    </row>
    <row r="371" spans="1:5" x14ac:dyDescent="0.35">
      <c r="A371" s="1" t="s">
        <v>936</v>
      </c>
      <c r="B371" s="1" t="s">
        <v>453</v>
      </c>
      <c r="C371" s="1" t="s">
        <v>2</v>
      </c>
      <c r="D371">
        <v>150</v>
      </c>
      <c r="E371">
        <v>45</v>
      </c>
    </row>
    <row r="372" spans="1:5" x14ac:dyDescent="0.35">
      <c r="A372" s="1" t="s">
        <v>937</v>
      </c>
      <c r="B372" s="1" t="s">
        <v>454</v>
      </c>
      <c r="C372" s="1" t="s">
        <v>2</v>
      </c>
      <c r="D372">
        <v>1170</v>
      </c>
      <c r="E372">
        <v>819</v>
      </c>
    </row>
    <row r="373" spans="1:5" x14ac:dyDescent="0.35">
      <c r="A373" s="1" t="s">
        <v>938</v>
      </c>
      <c r="B373" s="1" t="s">
        <v>455</v>
      </c>
      <c r="C373" s="1" t="s">
        <v>2</v>
      </c>
      <c r="D373">
        <v>870</v>
      </c>
      <c r="E373">
        <v>522</v>
      </c>
    </row>
    <row r="374" spans="1:5" x14ac:dyDescent="0.35">
      <c r="A374" s="1" t="s">
        <v>939</v>
      </c>
      <c r="B374" s="1" t="s">
        <v>456</v>
      </c>
      <c r="C374" s="1" t="s">
        <v>2</v>
      </c>
      <c r="D374">
        <v>950</v>
      </c>
      <c r="E374">
        <v>570</v>
      </c>
    </row>
    <row r="375" spans="1:5" x14ac:dyDescent="0.35">
      <c r="A375" s="1" t="s">
        <v>940</v>
      </c>
      <c r="B375" s="1" t="s">
        <v>457</v>
      </c>
      <c r="C375" s="1" t="s">
        <v>2</v>
      </c>
      <c r="D375">
        <v>770</v>
      </c>
      <c r="E375">
        <v>385</v>
      </c>
    </row>
    <row r="376" spans="1:5" x14ac:dyDescent="0.35">
      <c r="A376" s="1" t="s">
        <v>941</v>
      </c>
      <c r="B376" s="1" t="s">
        <v>458</v>
      </c>
      <c r="C376" s="1" t="s">
        <v>2</v>
      </c>
      <c r="D376">
        <v>660</v>
      </c>
      <c r="E376">
        <v>396</v>
      </c>
    </row>
    <row r="377" spans="1:5" x14ac:dyDescent="0.35">
      <c r="A377" s="1" t="s">
        <v>942</v>
      </c>
      <c r="B377" s="1" t="s">
        <v>459</v>
      </c>
      <c r="C377" s="1" t="s">
        <v>2</v>
      </c>
      <c r="D377">
        <v>1030</v>
      </c>
      <c r="E377">
        <v>412</v>
      </c>
    </row>
    <row r="378" spans="1:5" x14ac:dyDescent="0.35">
      <c r="A378" s="1" t="s">
        <v>943</v>
      </c>
      <c r="B378" s="1" t="s">
        <v>460</v>
      </c>
      <c r="C378" s="1" t="s">
        <v>461</v>
      </c>
      <c r="D378">
        <v>1010</v>
      </c>
      <c r="E378">
        <v>707</v>
      </c>
    </row>
    <row r="379" spans="1:5" x14ac:dyDescent="0.35">
      <c r="A379" s="1" t="s">
        <v>944</v>
      </c>
      <c r="B379" s="1" t="s">
        <v>462</v>
      </c>
      <c r="C379" s="1" t="s">
        <v>2</v>
      </c>
      <c r="D379">
        <v>850</v>
      </c>
      <c r="E379">
        <v>340</v>
      </c>
    </row>
    <row r="380" spans="1:5" x14ac:dyDescent="0.35">
      <c r="A380" s="1" t="s">
        <v>945</v>
      </c>
      <c r="B380" s="1" t="s">
        <v>463</v>
      </c>
      <c r="C380" s="1" t="s">
        <v>2</v>
      </c>
      <c r="D380">
        <v>420</v>
      </c>
      <c r="E380">
        <v>210</v>
      </c>
    </row>
    <row r="381" spans="1:5" x14ac:dyDescent="0.35">
      <c r="A381" s="1" t="s">
        <v>946</v>
      </c>
      <c r="B381" s="1" t="s">
        <v>464</v>
      </c>
      <c r="C381" s="1" t="s">
        <v>2</v>
      </c>
      <c r="D381">
        <v>1510</v>
      </c>
      <c r="E381">
        <v>755</v>
      </c>
    </row>
    <row r="382" spans="1:5" x14ac:dyDescent="0.35">
      <c r="A382" s="1" t="s">
        <v>947</v>
      </c>
      <c r="B382" s="1" t="s">
        <v>465</v>
      </c>
      <c r="C382" s="1" t="s">
        <v>2</v>
      </c>
      <c r="D382">
        <v>1970</v>
      </c>
      <c r="E382">
        <v>985</v>
      </c>
    </row>
    <row r="383" spans="1:5" x14ac:dyDescent="0.35">
      <c r="A383" s="1" t="s">
        <v>948</v>
      </c>
      <c r="B383" s="1" t="s">
        <v>5</v>
      </c>
      <c r="C383" s="1" t="s">
        <v>6</v>
      </c>
      <c r="D383">
        <v>160</v>
      </c>
      <c r="E383">
        <v>80</v>
      </c>
    </row>
    <row r="384" spans="1:5" x14ac:dyDescent="0.35">
      <c r="A384" s="1" t="s">
        <v>949</v>
      </c>
      <c r="B384" s="1" t="s">
        <v>466</v>
      </c>
      <c r="C384" s="1" t="s">
        <v>467</v>
      </c>
      <c r="D384">
        <v>490</v>
      </c>
      <c r="E384">
        <v>147</v>
      </c>
    </row>
    <row r="385" spans="1:5" x14ac:dyDescent="0.35">
      <c r="A385" s="1" t="s">
        <v>950</v>
      </c>
      <c r="B385" s="1" t="s">
        <v>7</v>
      </c>
      <c r="C385" s="1" t="s">
        <v>2</v>
      </c>
      <c r="D385">
        <v>430</v>
      </c>
      <c r="E385">
        <v>129</v>
      </c>
    </row>
    <row r="386" spans="1:5" x14ac:dyDescent="0.35">
      <c r="A386" s="1" t="s">
        <v>951</v>
      </c>
      <c r="B386" s="1" t="s">
        <v>468</v>
      </c>
      <c r="C386" s="1" t="s">
        <v>2</v>
      </c>
      <c r="D386">
        <v>1720</v>
      </c>
      <c r="E386">
        <v>1032</v>
      </c>
    </row>
    <row r="387" spans="1:5" x14ac:dyDescent="0.35">
      <c r="A387" s="1" t="s">
        <v>952</v>
      </c>
      <c r="B387" s="1" t="s">
        <v>469</v>
      </c>
      <c r="C387" s="1" t="s">
        <v>2</v>
      </c>
      <c r="D387">
        <v>1600</v>
      </c>
      <c r="E387">
        <v>800</v>
      </c>
    </row>
    <row r="388" spans="1:5" x14ac:dyDescent="0.35">
      <c r="A388" s="1" t="s">
        <v>953</v>
      </c>
      <c r="B388" s="1" t="s">
        <v>470</v>
      </c>
      <c r="C388" s="1" t="s">
        <v>2</v>
      </c>
      <c r="D388">
        <v>770</v>
      </c>
      <c r="E388">
        <v>539</v>
      </c>
    </row>
    <row r="389" spans="1:5" x14ac:dyDescent="0.35">
      <c r="A389" s="1" t="s">
        <v>954</v>
      </c>
      <c r="B389" s="1" t="s">
        <v>471</v>
      </c>
      <c r="C389" s="1" t="s">
        <v>2</v>
      </c>
      <c r="D389">
        <v>1070</v>
      </c>
      <c r="E389">
        <v>428</v>
      </c>
    </row>
    <row r="390" spans="1:5" x14ac:dyDescent="0.35">
      <c r="A390" s="1" t="s">
        <v>955</v>
      </c>
      <c r="B390" s="1" t="s">
        <v>472</v>
      </c>
      <c r="C390" s="1" t="s">
        <v>2</v>
      </c>
      <c r="D390">
        <v>810</v>
      </c>
      <c r="E390">
        <v>567</v>
      </c>
    </row>
    <row r="391" spans="1:5" x14ac:dyDescent="0.35">
      <c r="A391" s="1" t="s">
        <v>956</v>
      </c>
      <c r="B391" s="1" t="s">
        <v>473</v>
      </c>
      <c r="C391" s="1" t="s">
        <v>2</v>
      </c>
      <c r="D391">
        <v>680</v>
      </c>
      <c r="E391">
        <v>204</v>
      </c>
    </row>
    <row r="392" spans="1:5" x14ac:dyDescent="0.35">
      <c r="A392" s="1" t="s">
        <v>957</v>
      </c>
      <c r="B392" s="1" t="s">
        <v>474</v>
      </c>
      <c r="C392" s="1" t="s">
        <v>2</v>
      </c>
      <c r="D392">
        <v>520</v>
      </c>
      <c r="E392">
        <v>364</v>
      </c>
    </row>
    <row r="393" spans="1:5" x14ac:dyDescent="0.35">
      <c r="A393" s="1" t="s">
        <v>958</v>
      </c>
      <c r="B393" s="1" t="s">
        <v>475</v>
      </c>
      <c r="C393" s="1" t="s">
        <v>2</v>
      </c>
      <c r="D393">
        <v>1310</v>
      </c>
      <c r="E393">
        <v>655</v>
      </c>
    </row>
    <row r="394" spans="1:5" x14ac:dyDescent="0.35">
      <c r="A394" s="1" t="s">
        <v>959</v>
      </c>
      <c r="B394" s="1" t="s">
        <v>476</v>
      </c>
      <c r="C394" s="1" t="s">
        <v>2</v>
      </c>
      <c r="D394">
        <v>1410</v>
      </c>
      <c r="E394">
        <v>705</v>
      </c>
    </row>
    <row r="395" spans="1:5" x14ac:dyDescent="0.35">
      <c r="A395" s="1" t="s">
        <v>960</v>
      </c>
      <c r="B395" s="1" t="s">
        <v>477</v>
      </c>
      <c r="C395" s="1" t="s">
        <v>2</v>
      </c>
      <c r="D395">
        <v>1380</v>
      </c>
      <c r="E395">
        <v>414</v>
      </c>
    </row>
    <row r="396" spans="1:5" x14ac:dyDescent="0.35">
      <c r="A396" s="1" t="s">
        <v>961</v>
      </c>
      <c r="B396" s="1" t="s">
        <v>478</v>
      </c>
      <c r="C396" s="1" t="s">
        <v>2</v>
      </c>
      <c r="D396">
        <v>1060</v>
      </c>
      <c r="E396">
        <v>530</v>
      </c>
    </row>
    <row r="397" spans="1:5" x14ac:dyDescent="0.35">
      <c r="A397" s="1" t="s">
        <v>962</v>
      </c>
      <c r="B397" s="1" t="s">
        <v>479</v>
      </c>
      <c r="C397" s="1" t="s">
        <v>2</v>
      </c>
      <c r="D397">
        <v>130</v>
      </c>
      <c r="E397">
        <v>52</v>
      </c>
    </row>
    <row r="398" spans="1:5" x14ac:dyDescent="0.35">
      <c r="A398" s="1" t="s">
        <v>963</v>
      </c>
      <c r="B398" s="1" t="s">
        <v>480</v>
      </c>
      <c r="C398" s="1" t="s">
        <v>2</v>
      </c>
      <c r="D398">
        <v>970</v>
      </c>
      <c r="E398">
        <v>388</v>
      </c>
    </row>
    <row r="399" spans="1:5" x14ac:dyDescent="0.35">
      <c r="A399" s="1" t="s">
        <v>964</v>
      </c>
      <c r="B399" s="1" t="s">
        <v>481</v>
      </c>
      <c r="C399" s="1" t="s">
        <v>482</v>
      </c>
      <c r="D399">
        <v>1950</v>
      </c>
      <c r="E399">
        <v>1365</v>
      </c>
    </row>
    <row r="400" spans="1:5" x14ac:dyDescent="0.35">
      <c r="A400" s="1" t="s">
        <v>965</v>
      </c>
      <c r="B400" s="1" t="s">
        <v>483</v>
      </c>
      <c r="C400" s="1" t="s">
        <v>2</v>
      </c>
      <c r="D400">
        <v>1980</v>
      </c>
      <c r="E400">
        <v>792</v>
      </c>
    </row>
    <row r="401" spans="1:5" x14ac:dyDescent="0.35">
      <c r="A401" s="1" t="s">
        <v>966</v>
      </c>
      <c r="B401" s="1" t="s">
        <v>484</v>
      </c>
      <c r="C401" s="1" t="s">
        <v>2</v>
      </c>
      <c r="D401">
        <v>1470</v>
      </c>
      <c r="E401">
        <v>1029</v>
      </c>
    </row>
    <row r="402" spans="1:5" x14ac:dyDescent="0.35">
      <c r="A402" s="1" t="s">
        <v>967</v>
      </c>
      <c r="B402" s="1" t="s">
        <v>485</v>
      </c>
      <c r="C402" s="1" t="s">
        <v>2</v>
      </c>
      <c r="D402">
        <v>730</v>
      </c>
      <c r="E402">
        <v>511</v>
      </c>
    </row>
    <row r="403" spans="1:5" x14ac:dyDescent="0.35">
      <c r="A403" s="1" t="s">
        <v>968</v>
      </c>
      <c r="B403" s="1" t="s">
        <v>8</v>
      </c>
      <c r="C403" s="1" t="s">
        <v>9</v>
      </c>
      <c r="D403">
        <v>820</v>
      </c>
      <c r="E403">
        <v>410</v>
      </c>
    </row>
    <row r="404" spans="1:5" x14ac:dyDescent="0.35">
      <c r="A404" s="1" t="s">
        <v>969</v>
      </c>
      <c r="B404" s="1" t="s">
        <v>486</v>
      </c>
      <c r="C404" s="1" t="s">
        <v>2</v>
      </c>
      <c r="D404">
        <v>140</v>
      </c>
      <c r="E404">
        <v>70</v>
      </c>
    </row>
    <row r="405" spans="1:5" x14ac:dyDescent="0.35">
      <c r="A405" s="1" t="s">
        <v>970</v>
      </c>
      <c r="B405" s="1" t="s">
        <v>487</v>
      </c>
      <c r="C405" s="1" t="s">
        <v>2</v>
      </c>
      <c r="D405">
        <v>720</v>
      </c>
      <c r="E405">
        <v>432</v>
      </c>
    </row>
    <row r="406" spans="1:5" x14ac:dyDescent="0.35">
      <c r="A406" s="1" t="s">
        <v>971</v>
      </c>
      <c r="B406" s="1" t="s">
        <v>488</v>
      </c>
      <c r="C406" s="1" t="s">
        <v>2</v>
      </c>
      <c r="D406">
        <v>950</v>
      </c>
      <c r="E406">
        <v>570</v>
      </c>
    </row>
    <row r="407" spans="1:5" x14ac:dyDescent="0.35">
      <c r="A407" s="1" t="s">
        <v>972</v>
      </c>
      <c r="B407" s="1" t="s">
        <v>489</v>
      </c>
      <c r="C407" s="1" t="s">
        <v>2</v>
      </c>
      <c r="D407">
        <v>1430</v>
      </c>
      <c r="E407">
        <v>572</v>
      </c>
    </row>
    <row r="408" spans="1:5" x14ac:dyDescent="0.35">
      <c r="A408" s="1" t="s">
        <v>973</v>
      </c>
      <c r="B408" s="1" t="s">
        <v>490</v>
      </c>
      <c r="C408" s="1" t="s">
        <v>491</v>
      </c>
      <c r="D408">
        <v>1430</v>
      </c>
      <c r="E408">
        <v>1001</v>
      </c>
    </row>
    <row r="409" spans="1:5" x14ac:dyDescent="0.35">
      <c r="A409" s="1" t="s">
        <v>974</v>
      </c>
      <c r="B409" s="1" t="s">
        <v>492</v>
      </c>
      <c r="C409" s="1" t="s">
        <v>2</v>
      </c>
      <c r="D409">
        <v>1280</v>
      </c>
      <c r="E409">
        <v>640</v>
      </c>
    </row>
    <row r="410" spans="1:5" x14ac:dyDescent="0.35">
      <c r="A410" s="1" t="s">
        <v>975</v>
      </c>
      <c r="B410" s="1" t="s">
        <v>493</v>
      </c>
      <c r="C410" s="1" t="s">
        <v>2</v>
      </c>
      <c r="D410">
        <v>480</v>
      </c>
      <c r="E410">
        <v>192</v>
      </c>
    </row>
    <row r="411" spans="1:5" x14ac:dyDescent="0.35">
      <c r="A411" s="1" t="s">
        <v>976</v>
      </c>
      <c r="B411" s="1" t="s">
        <v>6</v>
      </c>
      <c r="C411" s="1" t="s">
        <v>2</v>
      </c>
      <c r="D411">
        <v>1000</v>
      </c>
      <c r="E411">
        <v>500</v>
      </c>
    </row>
    <row r="412" spans="1:5" x14ac:dyDescent="0.35">
      <c r="A412" s="1" t="s">
        <v>977</v>
      </c>
      <c r="B412" s="1" t="s">
        <v>494</v>
      </c>
      <c r="C412" s="1" t="s">
        <v>2</v>
      </c>
      <c r="D412">
        <v>1990</v>
      </c>
      <c r="E412">
        <v>796</v>
      </c>
    </row>
    <row r="413" spans="1:5" x14ac:dyDescent="0.35">
      <c r="A413" s="1" t="s">
        <v>978</v>
      </c>
      <c r="B413" s="1" t="s">
        <v>495</v>
      </c>
      <c r="C413" s="1" t="s">
        <v>2</v>
      </c>
      <c r="D413">
        <v>310</v>
      </c>
      <c r="E413">
        <v>186</v>
      </c>
    </row>
    <row r="414" spans="1:5" x14ac:dyDescent="0.35">
      <c r="A414" s="1" t="s">
        <v>979</v>
      </c>
      <c r="B414" s="1" t="s">
        <v>496</v>
      </c>
      <c r="C414" s="1" t="s">
        <v>497</v>
      </c>
      <c r="D414">
        <v>310</v>
      </c>
      <c r="E414">
        <v>93</v>
      </c>
    </row>
    <row r="415" spans="1:5" x14ac:dyDescent="0.35">
      <c r="A415" s="1" t="s">
        <v>980</v>
      </c>
      <c r="B415" s="1" t="s">
        <v>498</v>
      </c>
      <c r="C415" s="1" t="s">
        <v>499</v>
      </c>
      <c r="D415">
        <v>500</v>
      </c>
      <c r="E415">
        <v>300</v>
      </c>
    </row>
    <row r="416" spans="1:5" x14ac:dyDescent="0.35">
      <c r="A416" s="1" t="s">
        <v>981</v>
      </c>
      <c r="B416" s="1" t="s">
        <v>500</v>
      </c>
      <c r="C416" s="1" t="s">
        <v>2</v>
      </c>
      <c r="D416">
        <v>110</v>
      </c>
      <c r="E416">
        <v>44</v>
      </c>
    </row>
    <row r="417" spans="1:5" x14ac:dyDescent="0.35">
      <c r="A417" s="1" t="s">
        <v>982</v>
      </c>
      <c r="B417" s="1" t="s">
        <v>501</v>
      </c>
      <c r="C417" s="1" t="s">
        <v>2</v>
      </c>
      <c r="D417">
        <v>460</v>
      </c>
      <c r="E417">
        <v>138</v>
      </c>
    </row>
    <row r="418" spans="1:5" x14ac:dyDescent="0.35">
      <c r="A418" s="1" t="s">
        <v>983</v>
      </c>
      <c r="B418" s="1" t="s">
        <v>502</v>
      </c>
      <c r="C418" s="1" t="s">
        <v>503</v>
      </c>
      <c r="D418">
        <v>1640</v>
      </c>
      <c r="E418">
        <v>492</v>
      </c>
    </row>
    <row r="419" spans="1:5" x14ac:dyDescent="0.35">
      <c r="A419" s="1" t="s">
        <v>984</v>
      </c>
      <c r="B419" s="1" t="s">
        <v>504</v>
      </c>
      <c r="C419" s="1" t="s">
        <v>2</v>
      </c>
      <c r="D419">
        <v>680</v>
      </c>
      <c r="E419">
        <v>272</v>
      </c>
    </row>
    <row r="420" spans="1:5" x14ac:dyDescent="0.35">
      <c r="A420" s="1" t="s">
        <v>985</v>
      </c>
      <c r="B420" s="1" t="s">
        <v>505</v>
      </c>
      <c r="C420" s="1" t="s">
        <v>2</v>
      </c>
      <c r="D420">
        <v>1150</v>
      </c>
      <c r="E420">
        <v>805</v>
      </c>
    </row>
    <row r="421" spans="1:5" x14ac:dyDescent="0.35">
      <c r="A421" s="1" t="s">
        <v>986</v>
      </c>
      <c r="B421" s="1" t="s">
        <v>506</v>
      </c>
      <c r="C421" s="1" t="s">
        <v>2</v>
      </c>
      <c r="D421">
        <v>610</v>
      </c>
      <c r="E421">
        <v>366</v>
      </c>
    </row>
    <row r="422" spans="1:5" x14ac:dyDescent="0.35">
      <c r="A422" s="1" t="s">
        <v>987</v>
      </c>
      <c r="B422" s="1" t="s">
        <v>507</v>
      </c>
      <c r="C422" s="1" t="s">
        <v>2</v>
      </c>
      <c r="D422">
        <v>410</v>
      </c>
      <c r="E422">
        <v>205</v>
      </c>
    </row>
    <row r="423" spans="1:5" x14ac:dyDescent="0.35">
      <c r="A423" s="1" t="s">
        <v>988</v>
      </c>
      <c r="B423" s="1" t="s">
        <v>508</v>
      </c>
      <c r="C423" s="1" t="s">
        <v>2</v>
      </c>
      <c r="D423">
        <v>1680</v>
      </c>
      <c r="E423">
        <v>840</v>
      </c>
    </row>
    <row r="424" spans="1:5" x14ac:dyDescent="0.35">
      <c r="A424" s="1" t="s">
        <v>989</v>
      </c>
      <c r="B424" s="1" t="s">
        <v>509</v>
      </c>
      <c r="C424" s="1" t="s">
        <v>2</v>
      </c>
      <c r="D424">
        <v>700</v>
      </c>
      <c r="E424">
        <v>210</v>
      </c>
    </row>
    <row r="425" spans="1:5" x14ac:dyDescent="0.35">
      <c r="A425" s="1" t="s">
        <v>990</v>
      </c>
      <c r="B425" s="1" t="s">
        <v>510</v>
      </c>
      <c r="C425" s="1" t="s">
        <v>2</v>
      </c>
      <c r="D425">
        <v>1190</v>
      </c>
      <c r="E425">
        <v>714</v>
      </c>
    </row>
    <row r="426" spans="1:5" x14ac:dyDescent="0.35">
      <c r="A426" s="1" t="s">
        <v>991</v>
      </c>
      <c r="B426" s="1" t="s">
        <v>511</v>
      </c>
      <c r="C426" s="1" t="s">
        <v>2</v>
      </c>
      <c r="D426">
        <v>1810</v>
      </c>
      <c r="E426">
        <v>1267</v>
      </c>
    </row>
    <row r="427" spans="1:5" x14ac:dyDescent="0.35">
      <c r="A427" s="1" t="s">
        <v>992</v>
      </c>
      <c r="B427" s="1" t="s">
        <v>512</v>
      </c>
      <c r="C427" s="1" t="s">
        <v>2</v>
      </c>
      <c r="D427">
        <v>1850</v>
      </c>
      <c r="E427">
        <v>740</v>
      </c>
    </row>
    <row r="428" spans="1:5" x14ac:dyDescent="0.35">
      <c r="A428" s="1" t="s">
        <v>993</v>
      </c>
      <c r="B428" s="1" t="s">
        <v>513</v>
      </c>
      <c r="C428" s="1" t="s">
        <v>2</v>
      </c>
      <c r="D428">
        <v>1500</v>
      </c>
      <c r="E428">
        <v>600</v>
      </c>
    </row>
    <row r="429" spans="1:5" x14ac:dyDescent="0.35">
      <c r="A429" s="1" t="s">
        <v>994</v>
      </c>
      <c r="B429" s="1" t="s">
        <v>514</v>
      </c>
      <c r="C429" s="1" t="s">
        <v>2</v>
      </c>
      <c r="D429">
        <v>520</v>
      </c>
      <c r="E429">
        <v>364</v>
      </c>
    </row>
    <row r="430" spans="1:5" x14ac:dyDescent="0.35">
      <c r="A430" s="1" t="s">
        <v>995</v>
      </c>
      <c r="B430" s="1" t="s">
        <v>515</v>
      </c>
      <c r="C430" s="1" t="s">
        <v>2</v>
      </c>
      <c r="D430">
        <v>1920</v>
      </c>
      <c r="E430">
        <v>1152</v>
      </c>
    </row>
    <row r="431" spans="1:5" x14ac:dyDescent="0.35">
      <c r="A431" s="1" t="s">
        <v>996</v>
      </c>
      <c r="B431" s="1" t="s">
        <v>516</v>
      </c>
      <c r="C431" s="1" t="s">
        <v>2</v>
      </c>
      <c r="D431">
        <v>1380</v>
      </c>
      <c r="E431">
        <v>828</v>
      </c>
    </row>
    <row r="432" spans="1:5" x14ac:dyDescent="0.35">
      <c r="A432" s="1" t="s">
        <v>997</v>
      </c>
      <c r="B432" s="1" t="s">
        <v>517</v>
      </c>
      <c r="C432" s="1" t="s">
        <v>2</v>
      </c>
      <c r="D432">
        <v>1190</v>
      </c>
      <c r="E432">
        <v>714</v>
      </c>
    </row>
    <row r="433" spans="1:5" x14ac:dyDescent="0.35">
      <c r="A433" s="1" t="s">
        <v>998</v>
      </c>
      <c r="B433" s="1" t="s">
        <v>518</v>
      </c>
      <c r="C433" s="1" t="s">
        <v>519</v>
      </c>
      <c r="D433">
        <v>1860</v>
      </c>
      <c r="E433">
        <v>1116</v>
      </c>
    </row>
    <row r="434" spans="1:5" x14ac:dyDescent="0.35">
      <c r="A434" s="1" t="s">
        <v>999</v>
      </c>
      <c r="B434" s="1" t="s">
        <v>520</v>
      </c>
      <c r="C434" s="1" t="s">
        <v>521</v>
      </c>
      <c r="D434">
        <v>1760</v>
      </c>
      <c r="E434">
        <v>704</v>
      </c>
    </row>
    <row r="435" spans="1:5" x14ac:dyDescent="0.35">
      <c r="A435" s="1" t="s">
        <v>1000</v>
      </c>
      <c r="B435" s="1" t="s">
        <v>522</v>
      </c>
      <c r="C435" s="1" t="s">
        <v>2</v>
      </c>
      <c r="D435">
        <v>1210</v>
      </c>
      <c r="E435">
        <v>847</v>
      </c>
    </row>
    <row r="436" spans="1:5" x14ac:dyDescent="0.35">
      <c r="A436" s="1" t="s">
        <v>1001</v>
      </c>
      <c r="B436" s="1" t="s">
        <v>523</v>
      </c>
      <c r="C436" s="1" t="s">
        <v>2</v>
      </c>
      <c r="D436">
        <v>420</v>
      </c>
      <c r="E436">
        <v>210</v>
      </c>
    </row>
    <row r="437" spans="1:5" x14ac:dyDescent="0.35">
      <c r="A437" s="1" t="s">
        <v>1002</v>
      </c>
      <c r="B437" s="1" t="s">
        <v>524</v>
      </c>
      <c r="C437" s="1" t="s">
        <v>525</v>
      </c>
      <c r="D437">
        <v>1570</v>
      </c>
      <c r="E437">
        <v>785</v>
      </c>
    </row>
    <row r="438" spans="1:5" x14ac:dyDescent="0.35">
      <c r="A438" s="1" t="s">
        <v>1003</v>
      </c>
      <c r="B438" s="1" t="s">
        <v>526</v>
      </c>
      <c r="C438" s="1" t="s">
        <v>2</v>
      </c>
      <c r="D438">
        <v>910</v>
      </c>
      <c r="E438">
        <v>273</v>
      </c>
    </row>
    <row r="439" spans="1:5" x14ac:dyDescent="0.35">
      <c r="A439" s="1" t="s">
        <v>1004</v>
      </c>
      <c r="B439" s="1" t="s">
        <v>527</v>
      </c>
      <c r="C439" s="1" t="s">
        <v>2</v>
      </c>
      <c r="D439">
        <v>140</v>
      </c>
      <c r="E439">
        <v>56</v>
      </c>
    </row>
    <row r="440" spans="1:5" x14ac:dyDescent="0.35">
      <c r="A440" s="1" t="s">
        <v>1005</v>
      </c>
      <c r="B440" s="1" t="s">
        <v>528</v>
      </c>
      <c r="C440" s="1" t="s">
        <v>2</v>
      </c>
      <c r="D440">
        <v>500</v>
      </c>
      <c r="E440">
        <v>200</v>
      </c>
    </row>
    <row r="441" spans="1:5" x14ac:dyDescent="0.35">
      <c r="A441" s="1" t="s">
        <v>1006</v>
      </c>
      <c r="B441" s="1" t="s">
        <v>529</v>
      </c>
      <c r="C441" s="1" t="s">
        <v>2</v>
      </c>
      <c r="D441">
        <v>1180</v>
      </c>
      <c r="E441">
        <v>590</v>
      </c>
    </row>
    <row r="442" spans="1:5" x14ac:dyDescent="0.35">
      <c r="A442" s="1" t="s">
        <v>1007</v>
      </c>
      <c r="B442" s="1" t="s">
        <v>530</v>
      </c>
      <c r="C442" s="1" t="s">
        <v>2</v>
      </c>
      <c r="D442">
        <v>120</v>
      </c>
      <c r="E442">
        <v>84</v>
      </c>
    </row>
    <row r="443" spans="1:5" x14ac:dyDescent="0.35">
      <c r="A443" s="1" t="s">
        <v>1008</v>
      </c>
      <c r="B443" s="1" t="s">
        <v>531</v>
      </c>
      <c r="C443" s="1" t="s">
        <v>532</v>
      </c>
      <c r="D443">
        <v>1030</v>
      </c>
      <c r="E443">
        <v>618</v>
      </c>
    </row>
    <row r="444" spans="1:5" x14ac:dyDescent="0.35">
      <c r="A444" s="1" t="s">
        <v>1009</v>
      </c>
      <c r="B444" s="1" t="s">
        <v>533</v>
      </c>
      <c r="C444" s="1" t="s">
        <v>2</v>
      </c>
      <c r="D444">
        <v>2000</v>
      </c>
      <c r="E444">
        <v>800</v>
      </c>
    </row>
    <row r="445" spans="1:5" x14ac:dyDescent="0.35">
      <c r="A445" s="1" t="s">
        <v>1010</v>
      </c>
      <c r="B445" s="1" t="s">
        <v>534</v>
      </c>
      <c r="C445" s="1" t="s">
        <v>2</v>
      </c>
      <c r="D445">
        <v>510</v>
      </c>
      <c r="E445">
        <v>306</v>
      </c>
    </row>
    <row r="446" spans="1:5" x14ac:dyDescent="0.35">
      <c r="A446" s="1" t="s">
        <v>1011</v>
      </c>
      <c r="B446" s="1" t="s">
        <v>535</v>
      </c>
      <c r="C446" s="1" t="s">
        <v>2</v>
      </c>
      <c r="D446">
        <v>520</v>
      </c>
      <c r="E446">
        <v>208</v>
      </c>
    </row>
    <row r="447" spans="1:5" x14ac:dyDescent="0.35">
      <c r="A447" s="1" t="s">
        <v>1012</v>
      </c>
      <c r="B447" s="1" t="s">
        <v>536</v>
      </c>
      <c r="C447" s="1" t="s">
        <v>2</v>
      </c>
      <c r="D447">
        <v>930</v>
      </c>
      <c r="E447">
        <v>651</v>
      </c>
    </row>
    <row r="448" spans="1:5" x14ac:dyDescent="0.35">
      <c r="A448" s="1" t="s">
        <v>1013</v>
      </c>
      <c r="B448" s="1" t="s">
        <v>537</v>
      </c>
      <c r="C448" s="1" t="s">
        <v>538</v>
      </c>
      <c r="D448">
        <v>780</v>
      </c>
      <c r="E448">
        <v>468</v>
      </c>
    </row>
    <row r="449" spans="1:5" x14ac:dyDescent="0.35">
      <c r="A449" s="1" t="s">
        <v>1014</v>
      </c>
      <c r="B449" s="1" t="s">
        <v>539</v>
      </c>
      <c r="C449" s="1" t="s">
        <v>2</v>
      </c>
      <c r="D449">
        <v>1930</v>
      </c>
      <c r="E449">
        <v>1351</v>
      </c>
    </row>
    <row r="450" spans="1:5" x14ac:dyDescent="0.35">
      <c r="A450" s="1" t="s">
        <v>1015</v>
      </c>
      <c r="B450" s="1" t="s">
        <v>540</v>
      </c>
      <c r="C450" s="1" t="s">
        <v>2</v>
      </c>
      <c r="D450">
        <v>1740</v>
      </c>
      <c r="E450">
        <v>1218</v>
      </c>
    </row>
    <row r="451" spans="1:5" x14ac:dyDescent="0.35">
      <c r="A451" s="1" t="s">
        <v>1016</v>
      </c>
      <c r="B451" s="1" t="s">
        <v>541</v>
      </c>
      <c r="C451" s="1" t="s">
        <v>2</v>
      </c>
      <c r="D451">
        <v>1210</v>
      </c>
      <c r="E451">
        <v>484</v>
      </c>
    </row>
    <row r="452" spans="1:5" x14ac:dyDescent="0.35">
      <c r="A452" s="1" t="s">
        <v>1017</v>
      </c>
      <c r="B452" s="1" t="s">
        <v>542</v>
      </c>
      <c r="C452" s="1" t="s">
        <v>2</v>
      </c>
      <c r="D452">
        <v>290</v>
      </c>
      <c r="E452">
        <v>174</v>
      </c>
    </row>
    <row r="453" spans="1:5" x14ac:dyDescent="0.35">
      <c r="A453" s="1" t="s">
        <v>1018</v>
      </c>
      <c r="B453" s="1" t="s">
        <v>543</v>
      </c>
      <c r="C453" s="1" t="s">
        <v>2</v>
      </c>
      <c r="D453">
        <v>1040</v>
      </c>
      <c r="E453">
        <v>312</v>
      </c>
    </row>
    <row r="454" spans="1:5" x14ac:dyDescent="0.35">
      <c r="A454" s="1" t="s">
        <v>1019</v>
      </c>
      <c r="B454" s="1" t="s">
        <v>544</v>
      </c>
      <c r="C454" s="1" t="s">
        <v>2</v>
      </c>
      <c r="D454">
        <v>1990</v>
      </c>
      <c r="E454">
        <v>796</v>
      </c>
    </row>
    <row r="455" spans="1:5" x14ac:dyDescent="0.35">
      <c r="A455" s="1" t="s">
        <v>1020</v>
      </c>
      <c r="B455" s="1" t="s">
        <v>545</v>
      </c>
      <c r="C455" s="1" t="s">
        <v>2</v>
      </c>
      <c r="D455">
        <v>1210</v>
      </c>
      <c r="E455">
        <v>484</v>
      </c>
    </row>
    <row r="456" spans="1:5" x14ac:dyDescent="0.35">
      <c r="A456" s="1" t="s">
        <v>1021</v>
      </c>
      <c r="B456" s="1" t="s">
        <v>546</v>
      </c>
      <c r="C456" s="1" t="s">
        <v>2</v>
      </c>
      <c r="D456">
        <v>980</v>
      </c>
      <c r="E456">
        <v>588</v>
      </c>
    </row>
    <row r="457" spans="1:5" x14ac:dyDescent="0.35">
      <c r="A457" s="1" t="s">
        <v>1022</v>
      </c>
      <c r="B457" s="1" t="s">
        <v>547</v>
      </c>
      <c r="C457" s="1" t="s">
        <v>2</v>
      </c>
      <c r="D457">
        <v>1900</v>
      </c>
      <c r="E457">
        <v>1140</v>
      </c>
    </row>
    <row r="458" spans="1:5" x14ac:dyDescent="0.35">
      <c r="A458" s="1" t="s">
        <v>1023</v>
      </c>
      <c r="B458" s="1" t="s">
        <v>548</v>
      </c>
      <c r="C458" s="1" t="s">
        <v>2</v>
      </c>
      <c r="D458">
        <v>620</v>
      </c>
      <c r="E458">
        <v>372</v>
      </c>
    </row>
    <row r="459" spans="1:5" x14ac:dyDescent="0.35">
      <c r="A459" s="1" t="s">
        <v>1024</v>
      </c>
      <c r="B459" s="1" t="s">
        <v>549</v>
      </c>
      <c r="C459" s="1" t="s">
        <v>2</v>
      </c>
      <c r="D459">
        <v>1280</v>
      </c>
      <c r="E459">
        <v>384</v>
      </c>
    </row>
    <row r="460" spans="1:5" x14ac:dyDescent="0.35">
      <c r="A460" s="1" t="s">
        <v>1025</v>
      </c>
      <c r="B460" s="1" t="s">
        <v>550</v>
      </c>
      <c r="C460" s="1" t="s">
        <v>2</v>
      </c>
      <c r="D460">
        <v>430</v>
      </c>
      <c r="E460">
        <v>301</v>
      </c>
    </row>
    <row r="461" spans="1:5" x14ac:dyDescent="0.35">
      <c r="A461" s="1" t="s">
        <v>1026</v>
      </c>
      <c r="B461" s="1" t="s">
        <v>551</v>
      </c>
      <c r="C461" s="1" t="s">
        <v>2</v>
      </c>
      <c r="D461">
        <v>1160</v>
      </c>
      <c r="E461">
        <v>812</v>
      </c>
    </row>
    <row r="462" spans="1:5" x14ac:dyDescent="0.35">
      <c r="A462" s="1" t="s">
        <v>1027</v>
      </c>
      <c r="B462" s="1" t="s">
        <v>552</v>
      </c>
      <c r="C462" s="1" t="s">
        <v>2</v>
      </c>
      <c r="D462">
        <v>500</v>
      </c>
      <c r="E462">
        <v>300</v>
      </c>
    </row>
    <row r="463" spans="1:5" x14ac:dyDescent="0.35">
      <c r="A463" s="1" t="s">
        <v>1028</v>
      </c>
      <c r="B463" s="1" t="s">
        <v>553</v>
      </c>
      <c r="C463" s="1" t="s">
        <v>2</v>
      </c>
      <c r="D463">
        <v>1530</v>
      </c>
      <c r="E463">
        <v>765</v>
      </c>
    </row>
    <row r="464" spans="1:5" x14ac:dyDescent="0.35">
      <c r="A464" s="1" t="s">
        <v>1029</v>
      </c>
      <c r="B464" s="1" t="s">
        <v>554</v>
      </c>
      <c r="C464" s="1" t="s">
        <v>2</v>
      </c>
      <c r="D464">
        <v>1520</v>
      </c>
      <c r="E464">
        <v>608</v>
      </c>
    </row>
    <row r="465" spans="1:5" x14ac:dyDescent="0.35">
      <c r="A465" s="1" t="s">
        <v>1030</v>
      </c>
      <c r="B465" s="1" t="s">
        <v>555</v>
      </c>
      <c r="C465" s="1" t="s">
        <v>2</v>
      </c>
      <c r="D465">
        <v>1320</v>
      </c>
      <c r="E465">
        <v>924</v>
      </c>
    </row>
    <row r="466" spans="1:5" x14ac:dyDescent="0.35">
      <c r="A466" s="1" t="s">
        <v>1031</v>
      </c>
      <c r="B466" s="1" t="s">
        <v>556</v>
      </c>
      <c r="C466" s="1" t="s">
        <v>2</v>
      </c>
      <c r="D466">
        <v>890</v>
      </c>
      <c r="E466">
        <v>534</v>
      </c>
    </row>
    <row r="467" spans="1:5" x14ac:dyDescent="0.35">
      <c r="A467" s="1" t="s">
        <v>1032</v>
      </c>
      <c r="B467" s="1" t="s">
        <v>557</v>
      </c>
      <c r="C467" s="1" t="s">
        <v>2</v>
      </c>
      <c r="D467">
        <v>350</v>
      </c>
      <c r="E467">
        <v>245</v>
      </c>
    </row>
    <row r="468" spans="1:5" x14ac:dyDescent="0.35">
      <c r="A468" s="1" t="s">
        <v>1033</v>
      </c>
      <c r="B468" s="1" t="s">
        <v>558</v>
      </c>
      <c r="C468" s="1" t="s">
        <v>2</v>
      </c>
      <c r="D468">
        <v>1890</v>
      </c>
      <c r="E468">
        <v>1323</v>
      </c>
    </row>
    <row r="469" spans="1:5" x14ac:dyDescent="0.35">
      <c r="A469" s="1" t="s">
        <v>1034</v>
      </c>
      <c r="B469" s="1" t="s">
        <v>559</v>
      </c>
      <c r="C469" s="1" t="s">
        <v>2</v>
      </c>
      <c r="D469">
        <v>1220</v>
      </c>
      <c r="E469">
        <v>732</v>
      </c>
    </row>
    <row r="470" spans="1:5" x14ac:dyDescent="0.35">
      <c r="A470" s="1" t="s">
        <v>1035</v>
      </c>
      <c r="B470" s="1" t="s">
        <v>560</v>
      </c>
      <c r="C470" s="1" t="s">
        <v>2</v>
      </c>
      <c r="D470">
        <v>1790</v>
      </c>
      <c r="E470">
        <v>895</v>
      </c>
    </row>
    <row r="471" spans="1:5" x14ac:dyDescent="0.35">
      <c r="A471" s="1" t="s">
        <v>1036</v>
      </c>
      <c r="B471" s="1" t="s">
        <v>561</v>
      </c>
      <c r="C471" s="1" t="s">
        <v>2</v>
      </c>
      <c r="D471">
        <v>120</v>
      </c>
      <c r="E471">
        <v>60</v>
      </c>
    </row>
    <row r="472" spans="1:5" x14ac:dyDescent="0.35">
      <c r="A472" s="1" t="s">
        <v>1037</v>
      </c>
      <c r="B472" s="1" t="s">
        <v>562</v>
      </c>
      <c r="C472" s="1" t="s">
        <v>2</v>
      </c>
      <c r="D472">
        <v>280</v>
      </c>
      <c r="E472">
        <v>168</v>
      </c>
    </row>
    <row r="473" spans="1:5" x14ac:dyDescent="0.35">
      <c r="A473" s="1" t="s">
        <v>1038</v>
      </c>
      <c r="B473" s="1" t="s">
        <v>563</v>
      </c>
      <c r="C473" s="1" t="s">
        <v>2</v>
      </c>
      <c r="D473">
        <v>930</v>
      </c>
      <c r="E473">
        <v>651</v>
      </c>
    </row>
  </sheetData>
  <pageMargins left="0.7" right="0.7" top="0.75" bottom="0.75" header="0.3" footer="0.3"/>
  <tableParts count="1">
    <tablePart r:id="rId1"/>
  </tableParts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5E735B7-26C5-43CD-8287-E58A76953878}">
  <sheetPr codeName="Sheet3">
    <tabColor theme="7" tint="0.59999389629810485"/>
  </sheetPr>
  <dimension ref="A1:B12"/>
  <sheetViews>
    <sheetView workbookViewId="0">
      <selection activeCell="B9" sqref="B9"/>
    </sheetView>
  </sheetViews>
  <sheetFormatPr defaultRowHeight="14.5" x14ac:dyDescent="0.35"/>
  <cols>
    <col min="1" max="1" width="26.1796875" customWidth="1"/>
    <col min="2" max="2" width="25.54296875" customWidth="1"/>
  </cols>
  <sheetData>
    <row r="1" spans="1:2" ht="34.5" customHeight="1" x14ac:dyDescent="0.35"/>
    <row r="2" spans="1:2" x14ac:dyDescent="0.35">
      <c r="A2" t="s">
        <v>12</v>
      </c>
      <c r="B2" t="s">
        <v>13</v>
      </c>
    </row>
    <row r="3" spans="1:2" x14ac:dyDescent="0.35">
      <c r="A3" s="1" t="s">
        <v>3</v>
      </c>
      <c r="B3" s="1" t="s">
        <v>4</v>
      </c>
    </row>
    <row r="4" spans="1:2" x14ac:dyDescent="0.35">
      <c r="A4" s="1" t="s">
        <v>5</v>
      </c>
      <c r="B4" s="1" t="s">
        <v>15</v>
      </c>
    </row>
    <row r="5" spans="1:2" x14ac:dyDescent="0.35">
      <c r="A5" s="1" t="s">
        <v>566</v>
      </c>
      <c r="B5" s="1" t="s">
        <v>76</v>
      </c>
    </row>
    <row r="6" spans="1:2" x14ac:dyDescent="0.35">
      <c r="A6" s="1" t="s">
        <v>51</v>
      </c>
      <c r="B6" s="1" t="s">
        <v>79</v>
      </c>
    </row>
    <row r="7" spans="1:2" x14ac:dyDescent="0.35">
      <c r="A7" s="1" t="s">
        <v>566</v>
      </c>
      <c r="B7" s="1" t="s">
        <v>119</v>
      </c>
    </row>
    <row r="8" spans="1:2" x14ac:dyDescent="0.35">
      <c r="A8" s="1" t="s">
        <v>99</v>
      </c>
      <c r="B8" s="1" t="s">
        <v>186</v>
      </c>
    </row>
    <row r="9" spans="1:2" x14ac:dyDescent="0.35">
      <c r="A9" s="1" t="s">
        <v>99</v>
      </c>
      <c r="B9" s="1" t="s">
        <v>236</v>
      </c>
    </row>
    <row r="10" spans="1:2" x14ac:dyDescent="0.35">
      <c r="A10" s="1" t="s">
        <v>59</v>
      </c>
      <c r="B10" s="1" t="s">
        <v>58</v>
      </c>
    </row>
    <row r="11" spans="1:2" x14ac:dyDescent="0.35">
      <c r="A11" s="1" t="s">
        <v>43</v>
      </c>
      <c r="B11" s="1" t="s">
        <v>42</v>
      </c>
    </row>
    <row r="12" spans="1:2" x14ac:dyDescent="0.35">
      <c r="A12" s="1" t="s">
        <v>1039</v>
      </c>
      <c r="B12" s="1" t="s">
        <v>57</v>
      </c>
    </row>
  </sheetData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49" r:id="rId3" name="Button 1">
              <controlPr defaultSize="0" print="0" autoFill="0" autoPict="0" macro="[0]!updateFromTo">
                <anchor>
                  <from>
                    <xdr:col>0</xdr:col>
                    <xdr:colOff>0</xdr:colOff>
                    <xdr:row>0</xdr:row>
                    <xdr:rowOff>0</xdr:rowOff>
                  </from>
                  <to>
                    <xdr:col>0</xdr:col>
                    <xdr:colOff>1276350</xdr:colOff>
                    <xdr:row>0</xdr:row>
                    <xdr:rowOff>431800</xdr:rowOff>
                  </to>
                </anchor>
              </controlPr>
            </control>
          </mc:Choice>
        </mc:AlternateContent>
      </controls>
    </mc:Choice>
  </mc:AlternateContent>
  <tableParts count="1">
    <tablePart r:id="rId4"/>
  </tableParts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26284AD-5369-4788-A178-D9BED2D18A9D}">
  <sheetPr codeName="Sheet4">
    <tabColor theme="8" tint="0.59999389629810485"/>
  </sheetPr>
  <dimension ref="A1:C4"/>
  <sheetViews>
    <sheetView tabSelected="1" workbookViewId="0">
      <selection activeCell="C6" sqref="C6"/>
    </sheetView>
  </sheetViews>
  <sheetFormatPr defaultRowHeight="14.5" x14ac:dyDescent="0.35"/>
  <cols>
    <col min="1" max="1" width="27.7265625" customWidth="1"/>
    <col min="2" max="2" width="14.7265625" customWidth="1"/>
    <col min="4" max="4" width="5" bestFit="1" customWidth="1"/>
    <col min="5" max="5" width="11.1796875" bestFit="1" customWidth="1"/>
  </cols>
  <sheetData>
    <row r="1" spans="1:3" x14ac:dyDescent="0.35">
      <c r="A1" t="s">
        <v>17</v>
      </c>
      <c r="B1" t="s">
        <v>19</v>
      </c>
    </row>
    <row r="2" spans="1:3" x14ac:dyDescent="0.35">
      <c r="A2" s="4" t="s">
        <v>11</v>
      </c>
      <c r="B2" s="4"/>
      <c r="C2" t="s">
        <v>565</v>
      </c>
    </row>
    <row r="3" spans="1:3" x14ac:dyDescent="0.35">
      <c r="A3" s="4" t="s">
        <v>20</v>
      </c>
      <c r="B3" s="4">
        <v>0.7</v>
      </c>
    </row>
    <row r="4" spans="1:3" x14ac:dyDescent="0.35">
      <c r="A4" s="4" t="s">
        <v>564</v>
      </c>
      <c r="B4" s="4">
        <v>1</v>
      </c>
    </row>
  </sheetData>
  <dataValidations count="2">
    <dataValidation type="decimal" allowBlank="1" showInputMessage="1" showErrorMessage="1" errorTitle="Invalid Input" error="Please enter a decimal value between 0 and 1." promptTitle="Fuzzy Threshold" prompt="Enter a decimal value between 0 and 1 for fuzzy matching clarity" sqref="B3" xr:uid="{901ABB3D-866A-490D-AC5C-20220D95D304}">
      <formula1>0</formula1>
      <formula2>1</formula2>
    </dataValidation>
    <dataValidation type="whole" allowBlank="1" showInputMessage="1" showErrorMessage="1" errorTitle="Invalid Input" error="Please enter 1 to update or 0 to not update." promptTitle="Update From-To Table on Close" prompt="1 - Update_x000a_0 - Don't update" sqref="B4" xr:uid="{E5565033-A4B3-4C7B-B7F0-BF3848E17BD3}">
      <formula1>0</formula1>
      <formula2>1</formula2>
    </dataValidation>
  </dataValidations>
  <pageMargins left="0.7" right="0.7" top="0.75" bottom="0.75" header="0.3" footer="0.3"/>
  <legacyDrawing r:id="rId1"/>
  <tableParts count="1">
    <tablePart r:id="rId2"/>
  </tableParts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item1.xml>�� 
</file>

<file path=customXml/itemProps1.xml><?xml version="1.0" encoding="utf-8"?>
<ds:datastoreItem xmlns:ds="http://schemas.openxmlformats.org/officeDocument/2006/customXml" ds:itemID="{359E90DF-61E1-4999-9B4B-680D56E006E4}">
  <ds:schemaRefs>
    <ds:schemaRef ds:uri="http://schemas.microsoft.com/DataMashup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4</vt:i4>
      </vt:variant>
      <vt:variant>
        <vt:lpstr>Named Ranges</vt:lpstr>
      </vt:variant>
      <vt:variant>
        <vt:i4>1</vt:i4>
      </vt:variant>
    </vt:vector>
  </HeadingPairs>
  <TitlesOfParts>
    <vt:vector size="5" baseType="lpstr">
      <vt:lpstr>searching</vt:lpstr>
      <vt:lpstr>db</vt:lpstr>
      <vt:lpstr>fromTo</vt:lpstr>
      <vt:lpstr>settings</vt:lpstr>
      <vt:lpstr>nameSettings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Zu Lethal</dc:creator>
  <cp:lastModifiedBy>Admin</cp:lastModifiedBy>
  <dcterms:created xsi:type="dcterms:W3CDTF">2015-06-05T18:17:20Z</dcterms:created>
  <dcterms:modified xsi:type="dcterms:W3CDTF">2025-02-28T09:49:46Z</dcterms:modified>
</cp:coreProperties>
</file>